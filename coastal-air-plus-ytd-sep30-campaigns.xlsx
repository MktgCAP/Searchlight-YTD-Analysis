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TD Totals" sheetId="1" state="visible" r:id="rId3"/>
    <sheet name="All Campaigns Ranked" sheetId="2" state="visible" r:id="rId4"/>
    <sheet name="By Channel" sheetId="3" state="visible" r:id="rId5"/>
  </sheets>
  <definedNames>
    <definedName function="false" hidden="true" localSheetId="1" name="_xlnm._FilterDatabase" vbProcedure="false">'All Campaigns Ranked'!$A$4:$J$67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Searchlight "conversions" metric (all calls/forms incl. repeats), pulled directly from the API.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8" authorId="0">
      <text>
        <r>
          <rPr>
            <sz val="10"/>
            <rFont val="Arial"/>
            <family val="2"/>
          </rPr>
          <t xml:space="preserve">Channel-level Advertising spend ($159,196.02) minus the sum of named-campaign spend. Typically renamed/removed ad-platform campaigns.</t>
        </r>
      </text>
    </comment>
  </commentList>
</comments>
</file>

<file path=xl/sharedStrings.xml><?xml version="1.0" encoding="utf-8"?>
<sst xmlns="http://schemas.openxmlformats.org/spreadsheetml/2006/main" count="170" uniqueCount="86">
  <si>
    <t xml:space="preserve">Coastal Air Plus — YTD Totals (Jan 1 – Sep 30, 2026)</t>
  </si>
  <si>
    <t xml:space="preserve">Ad Spend</t>
  </si>
  <si>
    <t xml:space="preserve">Unique Leads</t>
  </si>
  <si>
    <t xml:space="preserve">Total Conversions</t>
  </si>
  <si>
    <t xml:space="preserve">Booked Jobs</t>
  </si>
  <si>
    <t xml:space="preserve">Closed Revenue</t>
  </si>
  <si>
    <t xml:space="preserve">Cost per Lead</t>
  </si>
  <si>
    <t xml:space="preserve">Cost per Booked Job</t>
  </si>
  <si>
    <t xml:space="preserve">ROAS (Closed)</t>
  </si>
  <si>
    <t xml:space="preserve">Notes</t>
  </si>
  <si>
    <t xml:space="preserve">Unique leads = Searchlight "leads"; Booked jobs = "bookedCustomers"; Closed revenue = "closedRevenue".</t>
  </si>
  <si>
    <t xml:space="preserve">Searchlight limits requests to 90 days, so data was pulled month by month and summed; a person who became a lead in two months counts twice.</t>
  </si>
  <si>
    <t xml:space="preserve">Campaign filter: all campaigns except the 45 excluded in the report link (retention, membership, estimate follow-up, SMS, welcome, Mainline).</t>
  </si>
  <si>
    <t xml:space="preserve">$9,316.38 of Advertising spend is not tied to a named campaign; it appears as its own row on the All Campaigns sheet.</t>
  </si>
  <si>
    <t xml:space="preserve">Coastal Air Plus — All Campaigns Ranked by Closed Revenue (Jan 1 – Sep 30, 2026)</t>
  </si>
  <si>
    <t xml:space="preserve">Source: Searchlight API (org aespire), report filter excluding 45 retention/membership/follow-up campaigns. Blue = data pulled from Searchlight; black = formulas.</t>
  </si>
  <si>
    <t xml:space="preserve">Rank</t>
  </si>
  <si>
    <t xml:space="preserve">Campaign</t>
  </si>
  <si>
    <t xml:space="preserve">Channel</t>
  </si>
  <si>
    <t xml:space="preserve">Spend</t>
  </si>
  <si>
    <t xml:space="preserve">Charleston GBP | Search</t>
  </si>
  <si>
    <t xml:space="preserve">Organic</t>
  </si>
  <si>
    <t xml:space="preserve">Direct Web Traffic</t>
  </si>
  <si>
    <t xml:space="preserve">Direct</t>
  </si>
  <si>
    <t xml:space="preserve">Website</t>
  </si>
  <si>
    <t xml:space="preserve">Other</t>
  </si>
  <si>
    <t xml:space="preserve">Myrtle Beach GBP | Search</t>
  </si>
  <si>
    <t xml:space="preserve">(LSA) Coastal Air Plus (HVAC) / David Long</t>
  </si>
  <si>
    <t xml:space="preserve">Advertising</t>
  </si>
  <si>
    <t xml:space="preserve">Google Organic</t>
  </si>
  <si>
    <t xml:space="preserve">(LSA) Coastal Air Plus (Plumbing) / David Long</t>
  </si>
  <si>
    <t xml:space="preserve">PPC_Brand_Core_Zip-Code</t>
  </si>
  <si>
    <t xml:space="preserve">(no campaign)</t>
  </si>
  <si>
    <t xml:space="preserve">PPC_Brand_Core_Myrtle-Beach</t>
  </si>
  <si>
    <t xml:space="preserve">PPC_NB_Competitor-Carolina-Cool_Zip-Code</t>
  </si>
  <si>
    <t xml:space="preserve">Performance Max - Remarketing</t>
  </si>
  <si>
    <t xml:space="preserve">PPC_NB_Competitor-Carolina-Cool_Myrtle-Beach</t>
  </si>
  <si>
    <t xml:space="preserve">Uncategorized</t>
  </si>
  <si>
    <t xml:space="preserve">Performance Max - HVAC</t>
  </si>
  <si>
    <t xml:space="preserve">PPC_NB_HVAC_Zip-Code</t>
  </si>
  <si>
    <t xml:space="preserve">July 2026 Special | $99 New System</t>
  </si>
  <si>
    <t xml:space="preserve">(LSA) Coastal Refrigeration Services Inc. (HVAC) / David Long</t>
  </si>
  <si>
    <t xml:space="preserve">PPC_NB_HVAC_Myrtle-Beach</t>
  </si>
  <si>
    <t xml:space="preserve">PPC_NB_Plumbing_Zip-Code</t>
  </si>
  <si>
    <t xml:space="preserve">Honey Do List Plumbing Campaign</t>
  </si>
  <si>
    <t xml:space="preserve">PPC_NB_Competitor_Zip-Code</t>
  </si>
  <si>
    <t xml:space="preserve">(LSA) Coastal Refrigeration Services Inc. (Plumbing) / David Long</t>
  </si>
  <si>
    <t xml:space="preserve">PPC_NB_Plumbing_Myrtle-Beach</t>
  </si>
  <si>
    <t xml:space="preserve">PPC HVAC</t>
  </si>
  <si>
    <t xml:space="preserve">PPC_NB_Competitor_Myrtle-Beach</t>
  </si>
  <si>
    <t xml:space="preserve">[Va] [Search] | Brand | mCPC</t>
  </si>
  <si>
    <t xml:space="preserve">Bing Organic</t>
  </si>
  <si>
    <t xml:space="preserve">Facebooks Ads</t>
  </si>
  <si>
    <t xml:space="preserve">[V] [PMAX] | HVAC - Cooling | tCPA $50 &gt; $45</t>
  </si>
  <si>
    <t xml:space="preserve">[V] [Search] | Brand | mCPC</t>
  </si>
  <si>
    <t xml:space="preserve">PPC Plumbing</t>
  </si>
  <si>
    <t xml:space="preserve">Direct Mail</t>
  </si>
  <si>
    <t xml:space="preserve">Direct Marketing</t>
  </si>
  <si>
    <t xml:space="preserve">Avoca Live Transfer</t>
  </si>
  <si>
    <t xml:space="preserve">PPC Google Brand</t>
  </si>
  <si>
    <t xml:space="preserve">Spring HVAC Tuneup $79</t>
  </si>
  <si>
    <t xml:space="preserve">mapstakeover</t>
  </si>
  <si>
    <t xml:space="preserve">Google Ads Pending Validation</t>
  </si>
  <si>
    <t xml:space="preserve">Yahoo Organic</t>
  </si>
  <si>
    <t xml:space="preserve">Aug 2026 Special | $100 Off Plumbing</t>
  </si>
  <si>
    <t xml:space="preserve">[V] [PMAX] | US | Heating | tCPA $50</t>
  </si>
  <si>
    <t xml:space="preserve">August 2026 Special | $100 Off HVAC Repair - Copy</t>
  </si>
  <si>
    <t xml:space="preserve">DuckDuckGo Organic</t>
  </si>
  <si>
    <t xml:space="preserve">Artificial Intelligence</t>
  </si>
  <si>
    <t xml:space="preserve">Promotional Maintenance MailChimp</t>
  </si>
  <si>
    <t xml:space="preserve">July - Sept 2026 Special | $99 New System</t>
  </si>
  <si>
    <t xml:space="preserve">Trane TCS Leads</t>
  </si>
  <si>
    <t xml:space="preserve">$99 Winter Tuneup Promo - Unbooked Customers Over 3 years</t>
  </si>
  <si>
    <t xml:space="preserve">Leads Campaign June Offers</t>
  </si>
  <si>
    <t xml:space="preserve">PDM -  Sept Plumbing Offer</t>
  </si>
  <si>
    <t xml:space="preserve">test DM</t>
  </si>
  <si>
    <t xml:space="preserve">$99 Winter Tuneup Promo Charleston</t>
  </si>
  <si>
    <t xml:space="preserve">December 2024 $99 Tune Up Promotional Offer</t>
  </si>
  <si>
    <t xml:space="preserve">$99 Winter Tuneup Promo</t>
  </si>
  <si>
    <t xml:space="preserve">[Va] [Search] | HVAC | mCPC &gt; tCPA $50 &gt; $40 &gt; $61</t>
  </si>
  <si>
    <t xml:space="preserve">thebluebook</t>
  </si>
  <si>
    <t xml:space="preserve">ChatGPT Referral</t>
  </si>
  <si>
    <t xml:space="preserve">Spend not tied to a named campaign</t>
  </si>
  <si>
    <t xml:space="preserve">Total</t>
  </si>
  <si>
    <t xml:space="preserve">By Channel (Searchlight attribution category)</t>
  </si>
  <si>
    <t xml:space="preserve">% of Closed Revenue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</si>
</sst>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;\(#,##0\);\-"/>
    <numFmt numFmtId="167" formatCode="\$#,##0.00"/>
    <numFmt numFmtId="168" formatCode="0.00\x;;\-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'By Channel'!B10</f>
        <v>159196.02</v>
      </c>
    </row>
    <row r="4" customFormat="false" ht="15" hidden="false" customHeight="false" outlineLevel="0" collapsed="false">
      <c r="A4" s="2" t="s">
        <v>2</v>
      </c>
      <c r="B4" s="4" t="n">
        <f aca="false">'By Channel'!C10</f>
        <v>3905</v>
      </c>
    </row>
    <row r="5" customFormat="false" ht="15" hidden="false" customHeight="false" outlineLevel="0" collapsed="false">
      <c r="A5" s="2" t="s">
        <v>3</v>
      </c>
      <c r="B5" s="5" t="n">
        <v>5057</v>
      </c>
    </row>
    <row r="6" customFormat="false" ht="15" hidden="false" customHeight="false" outlineLevel="0" collapsed="false">
      <c r="A6" s="2" t="s">
        <v>4</v>
      </c>
      <c r="B6" s="4" t="n">
        <f aca="false">'By Channel'!D10</f>
        <v>933</v>
      </c>
    </row>
    <row r="7" customFormat="false" ht="15" hidden="false" customHeight="false" outlineLevel="0" collapsed="false">
      <c r="A7" s="2" t="s">
        <v>5</v>
      </c>
      <c r="B7" s="3" t="n">
        <f aca="false">'By Channel'!E10</f>
        <v>1061371.77</v>
      </c>
    </row>
    <row r="8" customFormat="false" ht="15" hidden="false" customHeight="false" outlineLevel="0" collapsed="false">
      <c r="A8" s="2" t="s">
        <v>6</v>
      </c>
      <c r="B8" s="6" t="n">
        <f aca="false">B3/B4</f>
        <v>40.7672266325224</v>
      </c>
    </row>
    <row r="9" customFormat="false" ht="15" hidden="false" customHeight="false" outlineLevel="0" collapsed="false">
      <c r="A9" s="2" t="s">
        <v>7</v>
      </c>
      <c r="B9" s="6" t="n">
        <f aca="false">B3/B6</f>
        <v>170.628102893891</v>
      </c>
    </row>
    <row r="10" customFormat="false" ht="15" hidden="false" customHeight="false" outlineLevel="0" collapsed="false">
      <c r="A10" s="2" t="s">
        <v>8</v>
      </c>
      <c r="B10" s="7" t="n">
        <f aca="false">B7/B3</f>
        <v>6.66707477988457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8" t="s">
        <v>10</v>
      </c>
    </row>
    <row r="15" customFormat="false" ht="15" hidden="false" customHeight="false" outlineLevel="0" collapsed="false">
      <c r="A15" s="8" t="s">
        <v>11</v>
      </c>
    </row>
    <row r="16" customFormat="false" ht="15" hidden="false" customHeight="false" outlineLevel="0" collapsed="false">
      <c r="A16" s="8" t="s">
        <v>12</v>
      </c>
    </row>
    <row r="17" customFormat="false" ht="15" hidden="false" customHeight="false" outlineLevel="0" collapsed="false">
      <c r="A17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14</v>
      </c>
    </row>
    <row r="2" customFormat="false" ht="15" hidden="false" customHeight="false" outlineLevel="0" collapsed="false">
      <c r="A2" s="9" t="s">
        <v>15</v>
      </c>
    </row>
    <row r="4" customFormat="false" ht="23.85" hidden="false" customHeight="false" outlineLevel="0" collapsed="false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</v>
      </c>
      <c r="F4" s="10" t="s">
        <v>4</v>
      </c>
      <c r="G4" s="10" t="s">
        <v>5</v>
      </c>
      <c r="H4" s="10" t="s">
        <v>8</v>
      </c>
      <c r="I4" s="10" t="s">
        <v>6</v>
      </c>
      <c r="J4" s="10" t="s">
        <v>7</v>
      </c>
    </row>
    <row r="5" customFormat="false" ht="15" hidden="false" customHeight="false" outlineLevel="0" collapsed="false">
      <c r="A5" s="8" t="n">
        <v>1</v>
      </c>
      <c r="B5" s="8" t="s">
        <v>20</v>
      </c>
      <c r="C5" s="8" t="s">
        <v>21</v>
      </c>
      <c r="D5" s="11" t="n">
        <v>0</v>
      </c>
      <c r="E5" s="5" t="n">
        <v>707</v>
      </c>
      <c r="F5" s="5" t="n">
        <v>74</v>
      </c>
      <c r="G5" s="11" t="n">
        <v>132486.36</v>
      </c>
      <c r="H5" s="7" t="str">
        <f aca="false">IF(D5&gt;0,G5/D5,"")</f>
        <v/>
      </c>
      <c r="I5" s="3" t="str">
        <f aca="false">IF(AND(D5&gt;0,E5&gt;0),D5/E5,"")</f>
        <v/>
      </c>
      <c r="J5" s="3" t="str">
        <f aca="false">IF(AND(D5&gt;0,F5&gt;0),D5/F5,"")</f>
        <v/>
      </c>
    </row>
    <row r="6" customFormat="false" ht="15" hidden="false" customHeight="false" outlineLevel="0" collapsed="false">
      <c r="A6" s="8" t="n">
        <v>2</v>
      </c>
      <c r="B6" s="8" t="s">
        <v>22</v>
      </c>
      <c r="C6" s="8" t="s">
        <v>23</v>
      </c>
      <c r="D6" s="11" t="n">
        <v>0</v>
      </c>
      <c r="E6" s="5" t="n">
        <v>112</v>
      </c>
      <c r="F6" s="5" t="n">
        <v>15</v>
      </c>
      <c r="G6" s="11" t="n">
        <v>122269.95</v>
      </c>
      <c r="H6" s="7" t="str">
        <f aca="false">IF(D6&gt;0,G6/D6,"")</f>
        <v/>
      </c>
      <c r="I6" s="3" t="str">
        <f aca="false">IF(AND(D6&gt;0,E6&gt;0),D6/E6,"")</f>
        <v/>
      </c>
      <c r="J6" s="3" t="str">
        <f aca="false">IF(AND(D6&gt;0,F6&gt;0),D6/F6,"")</f>
        <v/>
      </c>
    </row>
    <row r="7" customFormat="false" ht="15" hidden="false" customHeight="false" outlineLevel="0" collapsed="false">
      <c r="A7" s="8" t="n">
        <v>3</v>
      </c>
      <c r="B7" s="8" t="s">
        <v>24</v>
      </c>
      <c r="C7" s="8" t="s">
        <v>25</v>
      </c>
      <c r="D7" s="11" t="n">
        <v>0</v>
      </c>
      <c r="E7" s="5" t="n">
        <v>183</v>
      </c>
      <c r="F7" s="5" t="n">
        <v>67</v>
      </c>
      <c r="G7" s="11" t="n">
        <v>105281.93</v>
      </c>
      <c r="H7" s="7" t="str">
        <f aca="false">IF(D7&gt;0,G7/D7,"")</f>
        <v/>
      </c>
      <c r="I7" s="3" t="str">
        <f aca="false">IF(AND(D7&gt;0,E7&gt;0),D7/E7,"")</f>
        <v/>
      </c>
      <c r="J7" s="3" t="str">
        <f aca="false">IF(AND(D7&gt;0,F7&gt;0),D7/F7,"")</f>
        <v/>
      </c>
    </row>
    <row r="8" customFormat="false" ht="15" hidden="false" customHeight="false" outlineLevel="0" collapsed="false">
      <c r="A8" s="8" t="n">
        <v>4</v>
      </c>
      <c r="B8" s="8" t="s">
        <v>26</v>
      </c>
      <c r="C8" s="8" t="s">
        <v>21</v>
      </c>
      <c r="D8" s="11" t="n">
        <v>0</v>
      </c>
      <c r="E8" s="5" t="n">
        <v>297</v>
      </c>
      <c r="F8" s="5" t="n">
        <v>71</v>
      </c>
      <c r="G8" s="11" t="n">
        <v>90343.31</v>
      </c>
      <c r="H8" s="7" t="str">
        <f aca="false">IF(D8&gt;0,G8/D8,"")</f>
        <v/>
      </c>
      <c r="I8" s="3" t="str">
        <f aca="false">IF(AND(D8&gt;0,E8&gt;0),D8/E8,"")</f>
        <v/>
      </c>
      <c r="J8" s="3" t="str">
        <f aca="false">IF(AND(D8&gt;0,F8&gt;0),D8/F8,"")</f>
        <v/>
      </c>
    </row>
    <row r="9" customFormat="false" ht="15" hidden="false" customHeight="false" outlineLevel="0" collapsed="false">
      <c r="A9" s="8" t="n">
        <v>5</v>
      </c>
      <c r="B9" s="8" t="s">
        <v>27</v>
      </c>
      <c r="C9" s="8" t="s">
        <v>28</v>
      </c>
      <c r="D9" s="11" t="n">
        <v>28092.5</v>
      </c>
      <c r="E9" s="5" t="n">
        <v>372</v>
      </c>
      <c r="F9" s="5" t="n">
        <v>138</v>
      </c>
      <c r="G9" s="11" t="n">
        <v>88245.44</v>
      </c>
      <c r="H9" s="7" t="n">
        <f aca="false">IF(D9&gt;0,G9/D9,"")</f>
        <v>3.14124552816588</v>
      </c>
      <c r="I9" s="3" t="n">
        <f aca="false">IF(AND(D9&gt;0,E9&gt;0),D9/E9,"")</f>
        <v>75.5174731182796</v>
      </c>
      <c r="J9" s="3" t="n">
        <f aca="false">IF(AND(D9&gt;0,F9&gt;0),D9/F9,"")</f>
        <v>203.56884057971</v>
      </c>
    </row>
    <row r="10" customFormat="false" ht="15" hidden="false" customHeight="false" outlineLevel="0" collapsed="false">
      <c r="A10" s="8" t="n">
        <v>6</v>
      </c>
      <c r="B10" s="8" t="s">
        <v>29</v>
      </c>
      <c r="C10" s="8" t="s">
        <v>21</v>
      </c>
      <c r="D10" s="11" t="n">
        <v>0</v>
      </c>
      <c r="E10" s="5" t="n">
        <v>113</v>
      </c>
      <c r="F10" s="5" t="n">
        <v>42</v>
      </c>
      <c r="G10" s="11" t="n">
        <v>71095.84</v>
      </c>
      <c r="H10" s="7" t="str">
        <f aca="false">IF(D10&gt;0,G10/D10,"")</f>
        <v/>
      </c>
      <c r="I10" s="3" t="str">
        <f aca="false">IF(AND(D10&gt;0,E10&gt;0),D10/E10,"")</f>
        <v/>
      </c>
      <c r="J10" s="3" t="str">
        <f aca="false">IF(AND(D10&gt;0,F10&gt;0),D10/F10,"")</f>
        <v/>
      </c>
    </row>
    <row r="11" customFormat="false" ht="15" hidden="false" customHeight="false" outlineLevel="0" collapsed="false">
      <c r="A11" s="8" t="n">
        <v>7</v>
      </c>
      <c r="B11" s="8" t="s">
        <v>30</v>
      </c>
      <c r="C11" s="8" t="s">
        <v>28</v>
      </c>
      <c r="D11" s="11" t="n">
        <v>5864.16</v>
      </c>
      <c r="E11" s="5" t="n">
        <v>131</v>
      </c>
      <c r="F11" s="5" t="n">
        <v>55</v>
      </c>
      <c r="G11" s="11" t="n">
        <v>66122.81</v>
      </c>
      <c r="H11" s="7" t="n">
        <f aca="false">IF(D11&gt;0,G11/D11,"")</f>
        <v>11.275751343756</v>
      </c>
      <c r="I11" s="3" t="n">
        <f aca="false">IF(AND(D11&gt;0,E11&gt;0),D11/E11,"")</f>
        <v>44.7645801526718</v>
      </c>
      <c r="J11" s="3" t="n">
        <f aca="false">IF(AND(D11&gt;0,F11&gt;0),D11/F11,"")</f>
        <v>106.621090909091</v>
      </c>
    </row>
    <row r="12" customFormat="false" ht="15" hidden="false" customHeight="false" outlineLevel="0" collapsed="false">
      <c r="A12" s="8" t="n">
        <v>8</v>
      </c>
      <c r="B12" s="8" t="s">
        <v>31</v>
      </c>
      <c r="C12" s="8" t="s">
        <v>28</v>
      </c>
      <c r="D12" s="11" t="n">
        <v>3089.87</v>
      </c>
      <c r="E12" s="5" t="n">
        <v>150</v>
      </c>
      <c r="F12" s="5" t="n">
        <v>64</v>
      </c>
      <c r="G12" s="11" t="n">
        <v>54782.64</v>
      </c>
      <c r="H12" s="7" t="n">
        <f aca="false">IF(D12&gt;0,G12/D12,"")</f>
        <v>17.7297556207866</v>
      </c>
      <c r="I12" s="3" t="n">
        <f aca="false">IF(AND(D12&gt;0,E12&gt;0),D12/E12,"")</f>
        <v>20.5991333333333</v>
      </c>
      <c r="J12" s="3" t="n">
        <f aca="false">IF(AND(D12&gt;0,F12&gt;0),D12/F12,"")</f>
        <v>48.27921875</v>
      </c>
    </row>
    <row r="13" customFormat="false" ht="15" hidden="false" customHeight="false" outlineLevel="0" collapsed="false">
      <c r="A13" s="8" t="n">
        <v>9</v>
      </c>
      <c r="B13" s="8" t="s">
        <v>32</v>
      </c>
      <c r="C13" s="8" t="s">
        <v>21</v>
      </c>
      <c r="D13" s="11" t="n">
        <v>0</v>
      </c>
      <c r="E13" s="5" t="n">
        <v>59</v>
      </c>
      <c r="F13" s="5" t="n">
        <v>30</v>
      </c>
      <c r="G13" s="11" t="n">
        <v>54290.77</v>
      </c>
      <c r="H13" s="7" t="str">
        <f aca="false">IF(D13&gt;0,G13/D13,"")</f>
        <v/>
      </c>
      <c r="I13" s="3" t="str">
        <f aca="false">IF(AND(D13&gt;0,E13&gt;0),D13/E13,"")</f>
        <v/>
      </c>
      <c r="J13" s="3" t="str">
        <f aca="false">IF(AND(D13&gt;0,F13&gt;0),D13/F13,"")</f>
        <v/>
      </c>
    </row>
    <row r="14" customFormat="false" ht="15" hidden="false" customHeight="false" outlineLevel="0" collapsed="false">
      <c r="A14" s="8" t="n">
        <v>10</v>
      </c>
      <c r="B14" s="8" t="s">
        <v>33</v>
      </c>
      <c r="C14" s="8" t="s">
        <v>28</v>
      </c>
      <c r="D14" s="11" t="n">
        <v>3946.1</v>
      </c>
      <c r="E14" s="5" t="n">
        <v>73</v>
      </c>
      <c r="F14" s="5" t="n">
        <v>48</v>
      </c>
      <c r="G14" s="11" t="n">
        <v>41969.31</v>
      </c>
      <c r="H14" s="7" t="n">
        <f aca="false">IF(D14&gt;0,G14/D14,"")</f>
        <v>10.6356427865487</v>
      </c>
      <c r="I14" s="3" t="n">
        <f aca="false">IF(AND(D14&gt;0,E14&gt;0),D14/E14,"")</f>
        <v>54.0561643835616</v>
      </c>
      <c r="J14" s="3" t="n">
        <f aca="false">IF(AND(D14&gt;0,F14&gt;0),D14/F14,"")</f>
        <v>82.2104166666667</v>
      </c>
    </row>
    <row r="15" customFormat="false" ht="15" hidden="false" customHeight="false" outlineLevel="0" collapsed="false">
      <c r="A15" s="8" t="n">
        <v>11</v>
      </c>
      <c r="B15" s="8" t="s">
        <v>34</v>
      </c>
      <c r="C15" s="8" t="s">
        <v>28</v>
      </c>
      <c r="D15" s="11" t="n">
        <v>4322.52</v>
      </c>
      <c r="E15" s="5" t="n">
        <v>79</v>
      </c>
      <c r="F15" s="5" t="n">
        <v>18</v>
      </c>
      <c r="G15" s="11" t="n">
        <v>39034.59</v>
      </c>
      <c r="H15" s="7" t="n">
        <f aca="false">IF(D15&gt;0,G15/D15,"")</f>
        <v>9.03051692068515</v>
      </c>
      <c r="I15" s="3" t="n">
        <f aca="false">IF(AND(D15&gt;0,E15&gt;0),D15/E15,"")</f>
        <v>54.7154430379747</v>
      </c>
      <c r="J15" s="3" t="n">
        <f aca="false">IF(AND(D15&gt;0,F15&gt;0),D15/F15,"")</f>
        <v>240.14</v>
      </c>
    </row>
    <row r="16" customFormat="false" ht="15" hidden="false" customHeight="false" outlineLevel="0" collapsed="false">
      <c r="A16" s="8" t="n">
        <v>12</v>
      </c>
      <c r="B16" s="8" t="s">
        <v>35</v>
      </c>
      <c r="C16" s="8" t="s">
        <v>28</v>
      </c>
      <c r="D16" s="11" t="n">
        <v>7825.01</v>
      </c>
      <c r="E16" s="5" t="n">
        <v>143</v>
      </c>
      <c r="F16" s="5" t="n">
        <v>42</v>
      </c>
      <c r="G16" s="11" t="n">
        <v>32610.12</v>
      </c>
      <c r="H16" s="7" t="n">
        <f aca="false">IF(D16&gt;0,G16/D16,"")</f>
        <v>4.16742215025923</v>
      </c>
      <c r="I16" s="3" t="n">
        <f aca="false">IF(AND(D16&gt;0,E16&gt;0),D16/E16,"")</f>
        <v>54.7203496503497</v>
      </c>
      <c r="J16" s="3" t="n">
        <f aca="false">IF(AND(D16&gt;0,F16&gt;0),D16/F16,"")</f>
        <v>186.309761904762</v>
      </c>
    </row>
    <row r="17" customFormat="false" ht="15" hidden="false" customHeight="false" outlineLevel="0" collapsed="false">
      <c r="A17" s="8" t="n">
        <v>13</v>
      </c>
      <c r="B17" s="8" t="s">
        <v>36</v>
      </c>
      <c r="C17" s="8" t="s">
        <v>28</v>
      </c>
      <c r="D17" s="11" t="n">
        <v>12477.02</v>
      </c>
      <c r="E17" s="5" t="n">
        <v>137</v>
      </c>
      <c r="F17" s="5" t="n">
        <v>25</v>
      </c>
      <c r="G17" s="11" t="n">
        <v>25347.88</v>
      </c>
      <c r="H17" s="7" t="n">
        <f aca="false">IF(D17&gt;0,G17/D17,"")</f>
        <v>2.03156522951795</v>
      </c>
      <c r="I17" s="3" t="n">
        <f aca="false">IF(AND(D17&gt;0,E17&gt;0),D17/E17,"")</f>
        <v>91.0731386861314</v>
      </c>
      <c r="J17" s="3" t="n">
        <f aca="false">IF(AND(D17&gt;0,F17&gt;0),D17/F17,"")</f>
        <v>499.0808</v>
      </c>
    </row>
    <row r="18" customFormat="false" ht="15" hidden="false" customHeight="false" outlineLevel="0" collapsed="false">
      <c r="A18" s="8" t="n">
        <v>14</v>
      </c>
      <c r="B18" s="8" t="s">
        <v>37</v>
      </c>
      <c r="C18" s="8" t="s">
        <v>25</v>
      </c>
      <c r="D18" s="11" t="n">
        <v>0</v>
      </c>
      <c r="E18" s="5" t="n">
        <v>107</v>
      </c>
      <c r="F18" s="5" t="n">
        <v>2</v>
      </c>
      <c r="G18" s="11" t="n">
        <v>18030.7</v>
      </c>
      <c r="H18" s="7" t="str">
        <f aca="false">IF(D18&gt;0,G18/D18,"")</f>
        <v/>
      </c>
      <c r="I18" s="3" t="str">
        <f aca="false">IF(AND(D18&gt;0,E18&gt;0),D18/E18,"")</f>
        <v/>
      </c>
      <c r="J18" s="3" t="str">
        <f aca="false">IF(AND(D18&gt;0,F18&gt;0),D18/F18,"")</f>
        <v/>
      </c>
    </row>
    <row r="19" customFormat="false" ht="15" hidden="false" customHeight="false" outlineLevel="0" collapsed="false">
      <c r="A19" s="8" t="n">
        <v>15</v>
      </c>
      <c r="B19" s="8" t="s">
        <v>38</v>
      </c>
      <c r="C19" s="8" t="s">
        <v>28</v>
      </c>
      <c r="D19" s="11" t="n">
        <v>1841.88</v>
      </c>
      <c r="E19" s="5" t="n">
        <v>46</v>
      </c>
      <c r="F19" s="5" t="n">
        <v>7</v>
      </c>
      <c r="G19" s="11" t="n">
        <v>13392.8</v>
      </c>
      <c r="H19" s="7" t="n">
        <f aca="false">IF(D19&gt;0,G19/D19,"")</f>
        <v>7.27126631485222</v>
      </c>
      <c r="I19" s="3" t="n">
        <f aca="false">IF(AND(D19&gt;0,E19&gt;0),D19/E19,"")</f>
        <v>40.0408695652174</v>
      </c>
      <c r="J19" s="3" t="n">
        <f aca="false">IF(AND(D19&gt;0,F19&gt;0),D19/F19,"")</f>
        <v>263.125714285714</v>
      </c>
    </row>
    <row r="20" customFormat="false" ht="15" hidden="false" customHeight="false" outlineLevel="0" collapsed="false">
      <c r="A20" s="8" t="n">
        <v>16</v>
      </c>
      <c r="B20" s="8" t="s">
        <v>22</v>
      </c>
      <c r="C20" s="8" t="s">
        <v>21</v>
      </c>
      <c r="D20" s="11" t="n">
        <v>0</v>
      </c>
      <c r="E20" s="5" t="n">
        <v>28</v>
      </c>
      <c r="F20" s="5" t="n">
        <v>9</v>
      </c>
      <c r="G20" s="11" t="n">
        <v>12298.51</v>
      </c>
      <c r="H20" s="7" t="str">
        <f aca="false">IF(D20&gt;0,G20/D20,"")</f>
        <v/>
      </c>
      <c r="I20" s="3" t="str">
        <f aca="false">IF(AND(D20&gt;0,E20&gt;0),D20/E20,"")</f>
        <v/>
      </c>
      <c r="J20" s="3" t="str">
        <f aca="false">IF(AND(D20&gt;0,F20&gt;0),D20/F20,"")</f>
        <v/>
      </c>
    </row>
    <row r="21" customFormat="false" ht="15" hidden="false" customHeight="false" outlineLevel="0" collapsed="false">
      <c r="A21" s="8" t="n">
        <v>17</v>
      </c>
      <c r="B21" s="8" t="s">
        <v>39</v>
      </c>
      <c r="C21" s="8" t="s">
        <v>28</v>
      </c>
      <c r="D21" s="11" t="n">
        <v>8981.37</v>
      </c>
      <c r="E21" s="5" t="n">
        <v>65</v>
      </c>
      <c r="F21" s="5" t="n">
        <v>19</v>
      </c>
      <c r="G21" s="11" t="n">
        <v>9979.93</v>
      </c>
      <c r="H21" s="7" t="n">
        <f aca="false">IF(D21&gt;0,G21/D21,"")</f>
        <v>1.11118125631168</v>
      </c>
      <c r="I21" s="3" t="n">
        <f aca="false">IF(AND(D21&gt;0,E21&gt;0),D21/E21,"")</f>
        <v>138.174923076923</v>
      </c>
      <c r="J21" s="3" t="n">
        <f aca="false">IF(AND(D21&gt;0,F21&gt;0),D21/F21,"")</f>
        <v>472.703684210526</v>
      </c>
    </row>
    <row r="22" customFormat="false" ht="15" hidden="false" customHeight="false" outlineLevel="0" collapsed="false">
      <c r="A22" s="8" t="n">
        <v>18</v>
      </c>
      <c r="B22" s="8" t="s">
        <v>40</v>
      </c>
      <c r="C22" s="8" t="s">
        <v>28</v>
      </c>
      <c r="D22" s="11" t="n">
        <v>4705.42</v>
      </c>
      <c r="E22" s="5" t="n">
        <v>21</v>
      </c>
      <c r="F22" s="5" t="n">
        <v>4</v>
      </c>
      <c r="G22" s="11" t="n">
        <v>9870</v>
      </c>
      <c r="H22" s="7" t="n">
        <f aca="false">IF(D22&gt;0,G22/D22,"")</f>
        <v>2.09758108734183</v>
      </c>
      <c r="I22" s="3" t="n">
        <f aca="false">IF(AND(D22&gt;0,E22&gt;0),D22/E22,"")</f>
        <v>224.067619047619</v>
      </c>
      <c r="J22" s="3" t="n">
        <f aca="false">IF(AND(D22&gt;0,F22&gt;0),D22/F22,"")</f>
        <v>1176.355</v>
      </c>
    </row>
    <row r="23" customFormat="false" ht="15" hidden="false" customHeight="false" outlineLevel="0" collapsed="false">
      <c r="A23" s="8" t="n">
        <v>19</v>
      </c>
      <c r="B23" s="8" t="s">
        <v>41</v>
      </c>
      <c r="C23" s="8" t="s">
        <v>28</v>
      </c>
      <c r="D23" s="11" t="n">
        <v>0</v>
      </c>
      <c r="E23" s="5" t="n">
        <v>0</v>
      </c>
      <c r="F23" s="5" t="n">
        <v>0</v>
      </c>
      <c r="G23" s="11" t="n">
        <v>9262</v>
      </c>
      <c r="H23" s="7" t="str">
        <f aca="false">IF(D23&gt;0,G23/D23,"")</f>
        <v/>
      </c>
      <c r="I23" s="3" t="str">
        <f aca="false">IF(AND(D23&gt;0,E23&gt;0),D23/E23,"")</f>
        <v/>
      </c>
      <c r="J23" s="3" t="str">
        <f aca="false">IF(AND(D23&gt;0,F23&gt;0),D23/F23,"")</f>
        <v/>
      </c>
    </row>
    <row r="24" customFormat="false" ht="15" hidden="false" customHeight="false" outlineLevel="0" collapsed="false">
      <c r="A24" s="8" t="n">
        <v>20</v>
      </c>
      <c r="B24" s="8" t="s">
        <v>42</v>
      </c>
      <c r="C24" s="8" t="s">
        <v>28</v>
      </c>
      <c r="D24" s="11" t="n">
        <v>17183.5</v>
      </c>
      <c r="E24" s="5" t="n">
        <v>97</v>
      </c>
      <c r="F24" s="5" t="n">
        <v>27</v>
      </c>
      <c r="G24" s="11" t="n">
        <v>7727.47</v>
      </c>
      <c r="H24" s="7" t="n">
        <f aca="false">IF(D24&gt;0,G24/D24,"")</f>
        <v>0.44970291267786</v>
      </c>
      <c r="I24" s="3" t="n">
        <f aca="false">IF(AND(D24&gt;0,E24&gt;0),D24/E24,"")</f>
        <v>177.149484536082</v>
      </c>
      <c r="J24" s="3" t="n">
        <f aca="false">IF(AND(D24&gt;0,F24&gt;0),D24/F24,"")</f>
        <v>636.425925925926</v>
      </c>
    </row>
    <row r="25" customFormat="false" ht="15" hidden="false" customHeight="false" outlineLevel="0" collapsed="false">
      <c r="A25" s="8" t="n">
        <v>21</v>
      </c>
      <c r="B25" s="8" t="s">
        <v>43</v>
      </c>
      <c r="C25" s="8" t="s">
        <v>28</v>
      </c>
      <c r="D25" s="11" t="n">
        <v>7281.46</v>
      </c>
      <c r="E25" s="5" t="n">
        <v>40</v>
      </c>
      <c r="F25" s="5" t="n">
        <v>11</v>
      </c>
      <c r="G25" s="11" t="n">
        <v>6648.42</v>
      </c>
      <c r="H25" s="7" t="n">
        <f aca="false">IF(D25&gt;0,G25/D25,"")</f>
        <v>0.913061391534115</v>
      </c>
      <c r="I25" s="3" t="n">
        <f aca="false">IF(AND(D25&gt;0,E25&gt;0),D25/E25,"")</f>
        <v>182.0365</v>
      </c>
      <c r="J25" s="3" t="n">
        <f aca="false">IF(AND(D25&gt;0,F25&gt;0),D25/F25,"")</f>
        <v>661.950909090909</v>
      </c>
    </row>
    <row r="26" customFormat="false" ht="15" hidden="false" customHeight="false" outlineLevel="0" collapsed="false">
      <c r="A26" s="8" t="n">
        <v>22</v>
      </c>
      <c r="B26" s="8" t="s">
        <v>44</v>
      </c>
      <c r="C26" s="8" t="s">
        <v>25</v>
      </c>
      <c r="D26" s="11" t="n">
        <v>0</v>
      </c>
      <c r="E26" s="5" t="n">
        <v>35</v>
      </c>
      <c r="F26" s="5" t="n">
        <v>16</v>
      </c>
      <c r="G26" s="11" t="n">
        <v>5291.71</v>
      </c>
      <c r="H26" s="7" t="str">
        <f aca="false">IF(D26&gt;0,G26/D26,"")</f>
        <v/>
      </c>
      <c r="I26" s="3" t="str">
        <f aca="false">IF(AND(D26&gt;0,E26&gt;0),D26/E26,"")</f>
        <v/>
      </c>
      <c r="J26" s="3" t="str">
        <f aca="false">IF(AND(D26&gt;0,F26&gt;0),D26/F26,"")</f>
        <v/>
      </c>
    </row>
    <row r="27" customFormat="false" ht="15" hidden="false" customHeight="false" outlineLevel="0" collapsed="false">
      <c r="A27" s="8" t="n">
        <v>23</v>
      </c>
      <c r="B27" s="8" t="s">
        <v>45</v>
      </c>
      <c r="C27" s="8" t="s">
        <v>28</v>
      </c>
      <c r="D27" s="11" t="n">
        <v>9866.38</v>
      </c>
      <c r="E27" s="5" t="n">
        <v>149</v>
      </c>
      <c r="F27" s="5" t="n">
        <v>19</v>
      </c>
      <c r="G27" s="11" t="n">
        <v>5129.14</v>
      </c>
      <c r="H27" s="7" t="n">
        <f aca="false">IF(D27&gt;0,G27/D27,"")</f>
        <v>0.519860374321686</v>
      </c>
      <c r="I27" s="3" t="n">
        <f aca="false">IF(AND(D27&gt;0,E27&gt;0),D27/E27,"")</f>
        <v>66.2173154362416</v>
      </c>
      <c r="J27" s="3" t="n">
        <f aca="false">IF(AND(D27&gt;0,F27&gt;0),D27/F27,"")</f>
        <v>519.283157894737</v>
      </c>
    </row>
    <row r="28" customFormat="false" ht="15" hidden="false" customHeight="false" outlineLevel="0" collapsed="false">
      <c r="A28" s="8" t="n">
        <v>24</v>
      </c>
      <c r="B28" s="8" t="s">
        <v>46</v>
      </c>
      <c r="C28" s="8" t="s">
        <v>28</v>
      </c>
      <c r="D28" s="11" t="n">
        <v>380.37</v>
      </c>
      <c r="E28" s="5" t="n">
        <v>13</v>
      </c>
      <c r="F28" s="5" t="n">
        <v>7</v>
      </c>
      <c r="G28" s="11" t="n">
        <v>4811.71</v>
      </c>
      <c r="H28" s="7" t="n">
        <f aca="false">IF(D28&gt;0,G28/D28,"")</f>
        <v>12.6500775560638</v>
      </c>
      <c r="I28" s="3" t="n">
        <f aca="false">IF(AND(D28&gt;0,E28&gt;0),D28/E28,"")</f>
        <v>29.2592307692308</v>
      </c>
      <c r="J28" s="3" t="n">
        <f aca="false">IF(AND(D28&gt;0,F28&gt;0),D28/F28,"")</f>
        <v>54.3385714285714</v>
      </c>
    </row>
    <row r="29" customFormat="false" ht="15" hidden="false" customHeight="false" outlineLevel="0" collapsed="false">
      <c r="A29" s="8" t="n">
        <v>25</v>
      </c>
      <c r="B29" s="8" t="s">
        <v>47</v>
      </c>
      <c r="C29" s="8" t="s">
        <v>28</v>
      </c>
      <c r="D29" s="11" t="n">
        <v>17661.55</v>
      </c>
      <c r="E29" s="5" t="n">
        <v>39</v>
      </c>
      <c r="F29" s="5" t="n">
        <v>12</v>
      </c>
      <c r="G29" s="11" t="n">
        <v>4798.59</v>
      </c>
      <c r="H29" s="7" t="n">
        <f aca="false">IF(D29&gt;0,G29/D29,"")</f>
        <v>0.271696991487157</v>
      </c>
      <c r="I29" s="3" t="n">
        <f aca="false">IF(AND(D29&gt;0,E29&gt;0),D29/E29,"")</f>
        <v>452.860256410256</v>
      </c>
      <c r="J29" s="3" t="n">
        <f aca="false">IF(AND(D29&gt;0,F29&gt;0),D29/F29,"")</f>
        <v>1471.79583333333</v>
      </c>
    </row>
    <row r="30" customFormat="false" ht="15" hidden="false" customHeight="false" outlineLevel="0" collapsed="false">
      <c r="A30" s="8" t="n">
        <v>26</v>
      </c>
      <c r="B30" s="8" t="s">
        <v>24</v>
      </c>
      <c r="C30" s="8" t="s">
        <v>21</v>
      </c>
      <c r="D30" s="11" t="n">
        <v>0</v>
      </c>
      <c r="E30" s="5" t="n">
        <v>2</v>
      </c>
      <c r="F30" s="5" t="n">
        <v>2</v>
      </c>
      <c r="G30" s="11" t="n">
        <v>3945.17</v>
      </c>
      <c r="H30" s="7" t="str">
        <f aca="false">IF(D30&gt;0,G30/D30,"")</f>
        <v/>
      </c>
      <c r="I30" s="3" t="str">
        <f aca="false">IF(AND(D30&gt;0,E30&gt;0),D30/E30,"")</f>
        <v/>
      </c>
      <c r="J30" s="3" t="str">
        <f aca="false">IF(AND(D30&gt;0,F30&gt;0),D30/F30,"")</f>
        <v/>
      </c>
    </row>
    <row r="31" customFormat="false" ht="15" hidden="false" customHeight="false" outlineLevel="0" collapsed="false">
      <c r="A31" s="8" t="n">
        <v>27</v>
      </c>
      <c r="B31" s="8" t="s">
        <v>32</v>
      </c>
      <c r="C31" s="8" t="s">
        <v>25</v>
      </c>
      <c r="D31" s="11" t="n">
        <v>0</v>
      </c>
      <c r="E31" s="5" t="n">
        <v>60</v>
      </c>
      <c r="F31" s="5" t="n">
        <v>9</v>
      </c>
      <c r="G31" s="11" t="n">
        <v>3384.6</v>
      </c>
      <c r="H31" s="7" t="str">
        <f aca="false">IF(D31&gt;0,G31/D31,"")</f>
        <v/>
      </c>
      <c r="I31" s="3" t="str">
        <f aca="false">IF(AND(D31&gt;0,E31&gt;0),D31/E31,"")</f>
        <v/>
      </c>
      <c r="J31" s="3" t="str">
        <f aca="false">IF(AND(D31&gt;0,F31&gt;0),D31/F31,"")</f>
        <v/>
      </c>
    </row>
    <row r="32" customFormat="false" ht="15" hidden="false" customHeight="false" outlineLevel="0" collapsed="false">
      <c r="A32" s="8" t="n">
        <v>28</v>
      </c>
      <c r="B32" s="8" t="s">
        <v>48</v>
      </c>
      <c r="C32" s="8" t="s">
        <v>28</v>
      </c>
      <c r="D32" s="11" t="n">
        <v>0</v>
      </c>
      <c r="E32" s="5" t="n">
        <v>174</v>
      </c>
      <c r="F32" s="5" t="n">
        <v>7</v>
      </c>
      <c r="G32" s="11" t="n">
        <v>2908.84</v>
      </c>
      <c r="H32" s="7" t="str">
        <f aca="false">IF(D32&gt;0,G32/D32,"")</f>
        <v/>
      </c>
      <c r="I32" s="3" t="str">
        <f aca="false">IF(AND(D32&gt;0,E32&gt;0),D32/E32,"")</f>
        <v/>
      </c>
      <c r="J32" s="3" t="str">
        <f aca="false">IF(AND(D32&gt;0,F32&gt;0),D32/F32,"")</f>
        <v/>
      </c>
    </row>
    <row r="33" customFormat="false" ht="15" hidden="false" customHeight="false" outlineLevel="0" collapsed="false">
      <c r="A33" s="8" t="n">
        <v>29</v>
      </c>
      <c r="B33" s="8" t="s">
        <v>49</v>
      </c>
      <c r="C33" s="8" t="s">
        <v>28</v>
      </c>
      <c r="D33" s="11" t="n">
        <v>6667.32</v>
      </c>
      <c r="E33" s="5" t="n">
        <v>48</v>
      </c>
      <c r="F33" s="5" t="n">
        <v>13</v>
      </c>
      <c r="G33" s="11" t="n">
        <v>2732.46</v>
      </c>
      <c r="H33" s="7" t="n">
        <f aca="false">IF(D33&gt;0,G33/D33,"")</f>
        <v>0.409828836773996</v>
      </c>
      <c r="I33" s="3" t="n">
        <f aca="false">IF(AND(D33&gt;0,E33&gt;0),D33/E33,"")</f>
        <v>138.9025</v>
      </c>
      <c r="J33" s="3" t="n">
        <f aca="false">IF(AND(D33&gt;0,F33&gt;0),D33/F33,"")</f>
        <v>512.870769230769</v>
      </c>
    </row>
    <row r="34" customFormat="false" ht="15" hidden="false" customHeight="false" outlineLevel="0" collapsed="false">
      <c r="A34" s="8" t="n">
        <v>30</v>
      </c>
      <c r="B34" s="8" t="s">
        <v>50</v>
      </c>
      <c r="C34" s="8" t="s">
        <v>28</v>
      </c>
      <c r="D34" s="11" t="n">
        <v>0</v>
      </c>
      <c r="E34" s="5" t="n">
        <v>5</v>
      </c>
      <c r="F34" s="5" t="n">
        <v>6</v>
      </c>
      <c r="G34" s="11" t="n">
        <v>2366.8</v>
      </c>
      <c r="H34" s="7" t="str">
        <f aca="false">IF(D34&gt;0,G34/D34,"")</f>
        <v/>
      </c>
      <c r="I34" s="3" t="str">
        <f aca="false">IF(AND(D34&gt;0,E34&gt;0),D34/E34,"")</f>
        <v/>
      </c>
      <c r="J34" s="3" t="str">
        <f aca="false">IF(AND(D34&gt;0,F34&gt;0),D34/F34,"")</f>
        <v/>
      </c>
    </row>
    <row r="35" customFormat="false" ht="15" hidden="false" customHeight="false" outlineLevel="0" collapsed="false">
      <c r="A35" s="8" t="n">
        <v>31</v>
      </c>
      <c r="B35" s="8" t="s">
        <v>51</v>
      </c>
      <c r="C35" s="8" t="s">
        <v>21</v>
      </c>
      <c r="D35" s="11" t="n">
        <v>0</v>
      </c>
      <c r="E35" s="5" t="n">
        <v>26</v>
      </c>
      <c r="F35" s="5" t="n">
        <v>7</v>
      </c>
      <c r="G35" s="11" t="n">
        <v>2351.71</v>
      </c>
      <c r="H35" s="7" t="str">
        <f aca="false">IF(D35&gt;0,G35/D35,"")</f>
        <v/>
      </c>
      <c r="I35" s="3" t="str">
        <f aca="false">IF(AND(D35&gt;0,E35&gt;0),D35/E35,"")</f>
        <v/>
      </c>
      <c r="J35" s="3" t="str">
        <f aca="false">IF(AND(D35&gt;0,F35&gt;0),D35/F35,"")</f>
        <v/>
      </c>
    </row>
    <row r="36" customFormat="false" ht="15" hidden="false" customHeight="false" outlineLevel="0" collapsed="false">
      <c r="A36" s="8" t="n">
        <v>32</v>
      </c>
      <c r="B36" s="8" t="s">
        <v>52</v>
      </c>
      <c r="C36" s="8" t="s">
        <v>28</v>
      </c>
      <c r="D36" s="11" t="n">
        <v>0</v>
      </c>
      <c r="E36" s="5" t="n">
        <v>31</v>
      </c>
      <c r="F36" s="5" t="n">
        <v>11</v>
      </c>
      <c r="G36" s="11" t="n">
        <v>2237.4</v>
      </c>
      <c r="H36" s="7" t="str">
        <f aca="false">IF(D36&gt;0,G36/D36,"")</f>
        <v/>
      </c>
      <c r="I36" s="3" t="str">
        <f aca="false">IF(AND(D36&gt;0,E36&gt;0),D36/E36,"")</f>
        <v/>
      </c>
      <c r="J36" s="3" t="str">
        <f aca="false">IF(AND(D36&gt;0,F36&gt;0),D36/F36,"")</f>
        <v/>
      </c>
    </row>
    <row r="37" customFormat="false" ht="15" hidden="false" customHeight="false" outlineLevel="0" collapsed="false">
      <c r="A37" s="8" t="n">
        <v>33</v>
      </c>
      <c r="B37" s="8" t="s">
        <v>53</v>
      </c>
      <c r="C37" s="8" t="s">
        <v>28</v>
      </c>
      <c r="D37" s="11" t="n">
        <v>0</v>
      </c>
      <c r="E37" s="5" t="n">
        <v>0</v>
      </c>
      <c r="F37" s="5" t="n">
        <v>1</v>
      </c>
      <c r="G37" s="11" t="n">
        <v>1799.1</v>
      </c>
      <c r="H37" s="7" t="str">
        <f aca="false">IF(D37&gt;0,G37/D37,"")</f>
        <v/>
      </c>
      <c r="I37" s="3" t="str">
        <f aca="false">IF(AND(D37&gt;0,E37&gt;0),D37/E37,"")</f>
        <v/>
      </c>
      <c r="J37" s="3" t="str">
        <f aca="false">IF(AND(D37&gt;0,F37&gt;0),D37/F37,"")</f>
        <v/>
      </c>
    </row>
    <row r="38" customFormat="false" ht="15" hidden="false" customHeight="false" outlineLevel="0" collapsed="false">
      <c r="A38" s="8" t="n">
        <v>34</v>
      </c>
      <c r="B38" s="8" t="s">
        <v>54</v>
      </c>
      <c r="C38" s="8" t="s">
        <v>28</v>
      </c>
      <c r="D38" s="11" t="n">
        <v>0</v>
      </c>
      <c r="E38" s="5" t="n">
        <v>4</v>
      </c>
      <c r="F38" s="5" t="n">
        <v>6</v>
      </c>
      <c r="G38" s="11" t="n">
        <v>1474.24</v>
      </c>
      <c r="H38" s="7" t="str">
        <f aca="false">IF(D38&gt;0,G38/D38,"")</f>
        <v/>
      </c>
      <c r="I38" s="3" t="str">
        <f aca="false">IF(AND(D38&gt;0,E38&gt;0),D38/E38,"")</f>
        <v/>
      </c>
      <c r="J38" s="3" t="str">
        <f aca="false">IF(AND(D38&gt;0,F38&gt;0),D38/F38,"")</f>
        <v/>
      </c>
    </row>
    <row r="39" customFormat="false" ht="15" hidden="false" customHeight="false" outlineLevel="0" collapsed="false">
      <c r="A39" s="8" t="n">
        <v>35</v>
      </c>
      <c r="B39" s="8" t="s">
        <v>55</v>
      </c>
      <c r="C39" s="8" t="s">
        <v>28</v>
      </c>
      <c r="D39" s="11" t="n">
        <v>0</v>
      </c>
      <c r="E39" s="5" t="n">
        <v>19</v>
      </c>
      <c r="F39" s="5" t="n">
        <v>8</v>
      </c>
      <c r="G39" s="11" t="n">
        <v>1348.57</v>
      </c>
      <c r="H39" s="7" t="str">
        <f aca="false">IF(D39&gt;0,G39/D39,"")</f>
        <v/>
      </c>
      <c r="I39" s="3" t="str">
        <f aca="false">IF(AND(D39&gt;0,E39&gt;0),D39/E39,"")</f>
        <v/>
      </c>
      <c r="J39" s="3" t="str">
        <f aca="false">IF(AND(D39&gt;0,F39&gt;0),D39/F39,"")</f>
        <v/>
      </c>
    </row>
    <row r="40" customFormat="false" ht="15" hidden="false" customHeight="false" outlineLevel="0" collapsed="false">
      <c r="A40" s="8" t="n">
        <v>36</v>
      </c>
      <c r="B40" s="8" t="s">
        <v>56</v>
      </c>
      <c r="C40" s="8" t="s">
        <v>57</v>
      </c>
      <c r="D40" s="11" t="n">
        <v>0</v>
      </c>
      <c r="E40" s="5" t="n">
        <v>11</v>
      </c>
      <c r="F40" s="5" t="n">
        <v>6</v>
      </c>
      <c r="G40" s="11" t="n">
        <v>1177.06</v>
      </c>
      <c r="H40" s="7" t="str">
        <f aca="false">IF(D40&gt;0,G40/D40,"")</f>
        <v/>
      </c>
      <c r="I40" s="3" t="str">
        <f aca="false">IF(AND(D40&gt;0,E40&gt;0),D40/E40,"")</f>
        <v/>
      </c>
      <c r="J40" s="3" t="str">
        <f aca="false">IF(AND(D40&gt;0,F40&gt;0),D40/F40,"")</f>
        <v/>
      </c>
    </row>
    <row r="41" customFormat="false" ht="15" hidden="false" customHeight="false" outlineLevel="0" collapsed="false">
      <c r="A41" s="8" t="n">
        <v>37</v>
      </c>
      <c r="B41" s="8" t="s">
        <v>58</v>
      </c>
      <c r="C41" s="8" t="s">
        <v>25</v>
      </c>
      <c r="D41" s="11" t="n">
        <v>0</v>
      </c>
      <c r="E41" s="5" t="n">
        <v>13</v>
      </c>
      <c r="F41" s="5" t="n">
        <v>4</v>
      </c>
      <c r="G41" s="11" t="n">
        <v>909.99</v>
      </c>
      <c r="H41" s="7" t="str">
        <f aca="false">IF(D41&gt;0,G41/D41,"")</f>
        <v/>
      </c>
      <c r="I41" s="3" t="str">
        <f aca="false">IF(AND(D41&gt;0,E41&gt;0),D41/E41,"")</f>
        <v/>
      </c>
      <c r="J41" s="3" t="str">
        <f aca="false">IF(AND(D41&gt;0,F41&gt;0),D41/F41,"")</f>
        <v/>
      </c>
    </row>
    <row r="42" customFormat="false" ht="15" hidden="false" customHeight="false" outlineLevel="0" collapsed="false">
      <c r="A42" s="8" t="n">
        <v>38</v>
      </c>
      <c r="B42" s="8" t="s">
        <v>59</v>
      </c>
      <c r="C42" s="8" t="s">
        <v>28</v>
      </c>
      <c r="D42" s="11" t="n">
        <v>0</v>
      </c>
      <c r="E42" s="5" t="n">
        <v>5</v>
      </c>
      <c r="F42" s="5" t="n">
        <v>4</v>
      </c>
      <c r="G42" s="11" t="n">
        <v>789.88</v>
      </c>
      <c r="H42" s="7" t="str">
        <f aca="false">IF(D42&gt;0,G42/D42,"")</f>
        <v/>
      </c>
      <c r="I42" s="3" t="str">
        <f aca="false">IF(AND(D42&gt;0,E42&gt;0),D42/E42,"")</f>
        <v/>
      </c>
      <c r="J42" s="3" t="str">
        <f aca="false">IF(AND(D42&gt;0,F42&gt;0),D42/F42,"")</f>
        <v/>
      </c>
    </row>
    <row r="43" customFormat="false" ht="15" hidden="false" customHeight="false" outlineLevel="0" collapsed="false">
      <c r="A43" s="8" t="n">
        <v>39</v>
      </c>
      <c r="B43" s="8" t="s">
        <v>60</v>
      </c>
      <c r="C43" s="8" t="s">
        <v>25</v>
      </c>
      <c r="D43" s="11" t="n">
        <v>0</v>
      </c>
      <c r="E43" s="5" t="n">
        <v>11</v>
      </c>
      <c r="F43" s="5" t="n">
        <v>1</v>
      </c>
      <c r="G43" s="11" t="n">
        <v>623.92</v>
      </c>
      <c r="H43" s="7" t="str">
        <f aca="false">IF(D43&gt;0,G43/D43,"")</f>
        <v/>
      </c>
      <c r="I43" s="3" t="str">
        <f aca="false">IF(AND(D43&gt;0,E43&gt;0),D43/E43,"")</f>
        <v/>
      </c>
      <c r="J43" s="3" t="str">
        <f aca="false">IF(AND(D43&gt;0,F43&gt;0),D43/F43,"")</f>
        <v/>
      </c>
    </row>
    <row r="44" customFormat="false" ht="15" hidden="false" customHeight="false" outlineLevel="0" collapsed="false">
      <c r="A44" s="8" t="n">
        <v>40</v>
      </c>
      <c r="B44" s="8" t="s">
        <v>61</v>
      </c>
      <c r="C44" s="8" t="s">
        <v>21</v>
      </c>
      <c r="D44" s="11" t="n">
        <v>0</v>
      </c>
      <c r="E44" s="5" t="n">
        <v>22</v>
      </c>
      <c r="F44" s="5" t="n">
        <v>4</v>
      </c>
      <c r="G44" s="11" t="n">
        <v>544</v>
      </c>
      <c r="H44" s="7" t="str">
        <f aca="false">IF(D44&gt;0,G44/D44,"")</f>
        <v/>
      </c>
      <c r="I44" s="3" t="str">
        <f aca="false">IF(AND(D44&gt;0,E44&gt;0),D44/E44,"")</f>
        <v/>
      </c>
      <c r="J44" s="3" t="str">
        <f aca="false">IF(AND(D44&gt;0,F44&gt;0),D44/F44,"")</f>
        <v/>
      </c>
    </row>
    <row r="45" customFormat="false" ht="15" hidden="false" customHeight="false" outlineLevel="0" collapsed="false">
      <c r="A45" s="8" t="n">
        <v>41</v>
      </c>
      <c r="B45" s="8" t="s">
        <v>62</v>
      </c>
      <c r="C45" s="8" t="s">
        <v>28</v>
      </c>
      <c r="D45" s="11" t="n">
        <v>0</v>
      </c>
      <c r="E45" s="5" t="n">
        <v>15</v>
      </c>
      <c r="F45" s="5" t="n">
        <v>6</v>
      </c>
      <c r="G45" s="11" t="n">
        <v>403.91</v>
      </c>
      <c r="H45" s="7" t="str">
        <f aca="false">IF(D45&gt;0,G45/D45,"")</f>
        <v/>
      </c>
      <c r="I45" s="3" t="str">
        <f aca="false">IF(AND(D45&gt;0,E45&gt;0),D45/E45,"")</f>
        <v/>
      </c>
      <c r="J45" s="3" t="str">
        <f aca="false">IF(AND(D45&gt;0,F45&gt;0),D45/F45,"")</f>
        <v/>
      </c>
    </row>
    <row r="46" customFormat="false" ht="15" hidden="false" customHeight="false" outlineLevel="0" collapsed="false">
      <c r="A46" s="8" t="n">
        <v>42</v>
      </c>
      <c r="B46" s="8" t="s">
        <v>63</v>
      </c>
      <c r="C46" s="8" t="s">
        <v>21</v>
      </c>
      <c r="D46" s="11" t="n">
        <v>0</v>
      </c>
      <c r="E46" s="5" t="n">
        <v>10</v>
      </c>
      <c r="F46" s="5" t="n">
        <v>2</v>
      </c>
      <c r="G46" s="11" t="n">
        <v>374.6</v>
      </c>
      <c r="H46" s="7" t="str">
        <f aca="false">IF(D46&gt;0,G46/D46,"")</f>
        <v/>
      </c>
      <c r="I46" s="3" t="str">
        <f aca="false">IF(AND(D46&gt;0,E46&gt;0),D46/E46,"")</f>
        <v/>
      </c>
      <c r="J46" s="3" t="str">
        <f aca="false">IF(AND(D46&gt;0,F46&gt;0),D46/F46,"")</f>
        <v/>
      </c>
    </row>
    <row r="47" customFormat="false" ht="15" hidden="false" customHeight="false" outlineLevel="0" collapsed="false">
      <c r="A47" s="8" t="n">
        <v>43</v>
      </c>
      <c r="B47" s="8" t="s">
        <v>64</v>
      </c>
      <c r="C47" s="8" t="s">
        <v>28</v>
      </c>
      <c r="D47" s="11" t="n">
        <v>431.02</v>
      </c>
      <c r="E47" s="5" t="n">
        <v>3</v>
      </c>
      <c r="F47" s="5" t="n">
        <v>1</v>
      </c>
      <c r="G47" s="11" t="n">
        <v>319</v>
      </c>
      <c r="H47" s="7" t="n">
        <f aca="false">IF(D47&gt;0,G47/D47,"")</f>
        <v>0.740104867523549</v>
      </c>
      <c r="I47" s="3" t="n">
        <f aca="false">IF(AND(D47&gt;0,E47&gt;0),D47/E47,"")</f>
        <v>143.673333333333</v>
      </c>
      <c r="J47" s="3" t="n">
        <f aca="false">IF(AND(D47&gt;0,F47&gt;0),D47/F47,"")</f>
        <v>431.02</v>
      </c>
    </row>
    <row r="48" customFormat="false" ht="15" hidden="false" customHeight="false" outlineLevel="0" collapsed="false">
      <c r="A48" s="8" t="n">
        <v>44</v>
      </c>
      <c r="B48" s="8" t="s">
        <v>56</v>
      </c>
      <c r="C48" s="8" t="s">
        <v>21</v>
      </c>
      <c r="D48" s="11" t="n">
        <v>0</v>
      </c>
      <c r="E48" s="5" t="n">
        <v>3</v>
      </c>
      <c r="F48" s="5" t="n">
        <v>3</v>
      </c>
      <c r="G48" s="11" t="n">
        <v>300</v>
      </c>
      <c r="H48" s="7" t="str">
        <f aca="false">IF(D48&gt;0,G48/D48,"")</f>
        <v/>
      </c>
      <c r="I48" s="3" t="str">
        <f aca="false">IF(AND(D48&gt;0,E48&gt;0),D48/E48,"")</f>
        <v/>
      </c>
      <c r="J48" s="3" t="str">
        <f aca="false">IF(AND(D48&gt;0,F48&gt;0),D48/F48,"")</f>
        <v/>
      </c>
    </row>
    <row r="49" customFormat="false" ht="15" hidden="false" customHeight="false" outlineLevel="0" collapsed="false">
      <c r="A49" s="8" t="n">
        <v>45</v>
      </c>
      <c r="B49" s="8" t="s">
        <v>65</v>
      </c>
      <c r="C49" s="8" t="s">
        <v>28</v>
      </c>
      <c r="D49" s="11" t="n">
        <v>0</v>
      </c>
      <c r="E49" s="5" t="n">
        <v>1</v>
      </c>
      <c r="F49" s="5" t="n">
        <v>2</v>
      </c>
      <c r="G49" s="11" t="n">
        <v>258.59</v>
      </c>
      <c r="H49" s="7" t="str">
        <f aca="false">IF(D49&gt;0,G49/D49,"")</f>
        <v/>
      </c>
      <c r="I49" s="3" t="str">
        <f aca="false">IF(AND(D49&gt;0,E49&gt;0),D49/E49,"")</f>
        <v/>
      </c>
      <c r="J49" s="3" t="str">
        <f aca="false">IF(AND(D49&gt;0,F49&gt;0),D49/F49,"")</f>
        <v/>
      </c>
    </row>
    <row r="50" customFormat="false" ht="15" hidden="false" customHeight="false" outlineLevel="0" collapsed="false">
      <c r="A50" s="8" t="n">
        <v>46</v>
      </c>
      <c r="B50" s="8" t="s">
        <v>66</v>
      </c>
      <c r="C50" s="8" t="s">
        <v>28</v>
      </c>
      <c r="D50" s="11" t="n">
        <v>3871.48</v>
      </c>
      <c r="E50" s="5" t="n">
        <v>19</v>
      </c>
      <c r="F50" s="5" t="n">
        <v>2</v>
      </c>
      <c r="G50" s="11" t="n">
        <v>0</v>
      </c>
      <c r="H50" s="7" t="n">
        <f aca="false">IF(D50&gt;0,G50/D50,"")</f>
        <v>0</v>
      </c>
      <c r="I50" s="3" t="n">
        <f aca="false">IF(AND(D50&gt;0,E50&gt;0),D50/E50,"")</f>
        <v>203.762105263158</v>
      </c>
      <c r="J50" s="3" t="n">
        <f aca="false">IF(AND(D50&gt;0,F50&gt;0),D50/F50,"")</f>
        <v>1935.74</v>
      </c>
    </row>
    <row r="51" customFormat="false" ht="15" hidden="false" customHeight="false" outlineLevel="0" collapsed="false">
      <c r="A51" s="8" t="n">
        <v>47</v>
      </c>
      <c r="B51" s="8" t="s">
        <v>67</v>
      </c>
      <c r="C51" s="8" t="s">
        <v>21</v>
      </c>
      <c r="D51" s="11" t="n">
        <v>0</v>
      </c>
      <c r="E51" s="5" t="n">
        <v>10</v>
      </c>
      <c r="F51" s="5" t="n">
        <v>2</v>
      </c>
      <c r="G51" s="11" t="n">
        <v>0</v>
      </c>
      <c r="H51" s="7" t="str">
        <f aca="false">IF(D51&gt;0,G51/D51,"")</f>
        <v/>
      </c>
      <c r="I51" s="3" t="str">
        <f aca="false">IF(AND(D51&gt;0,E51&gt;0),D51/E51,"")</f>
        <v/>
      </c>
      <c r="J51" s="3" t="str">
        <f aca="false">IF(AND(D51&gt;0,F51&gt;0),D51/F51,"")</f>
        <v/>
      </c>
    </row>
    <row r="52" customFormat="false" ht="15" hidden="false" customHeight="false" outlineLevel="0" collapsed="false">
      <c r="A52" s="8" t="n">
        <v>48</v>
      </c>
      <c r="B52" s="8" t="s">
        <v>32</v>
      </c>
      <c r="C52" s="8" t="s">
        <v>68</v>
      </c>
      <c r="D52" s="11" t="n">
        <v>0</v>
      </c>
      <c r="E52" s="5" t="n">
        <v>4</v>
      </c>
      <c r="F52" s="5" t="n">
        <v>2</v>
      </c>
      <c r="G52" s="11" t="n">
        <v>0</v>
      </c>
      <c r="H52" s="7" t="str">
        <f aca="false">IF(D52&gt;0,G52/D52,"")</f>
        <v/>
      </c>
      <c r="I52" s="3" t="str">
        <f aca="false">IF(AND(D52&gt;0,E52&gt;0),D52/E52,"")</f>
        <v/>
      </c>
      <c r="J52" s="3" t="str">
        <f aca="false">IF(AND(D52&gt;0,F52&gt;0),D52/F52,"")</f>
        <v/>
      </c>
    </row>
    <row r="53" customFormat="false" ht="15" hidden="false" customHeight="false" outlineLevel="0" collapsed="false">
      <c r="A53" s="8" t="n">
        <v>49</v>
      </c>
      <c r="B53" s="8" t="s">
        <v>37</v>
      </c>
      <c r="C53" s="8" t="s">
        <v>21</v>
      </c>
      <c r="D53" s="11" t="n">
        <v>0</v>
      </c>
      <c r="E53" s="5" t="n">
        <v>10</v>
      </c>
      <c r="F53" s="5" t="n">
        <v>1</v>
      </c>
      <c r="G53" s="11" t="n">
        <v>0</v>
      </c>
      <c r="H53" s="7" t="str">
        <f aca="false">IF(D53&gt;0,G53/D53,"")</f>
        <v/>
      </c>
      <c r="I53" s="3" t="str">
        <f aca="false">IF(AND(D53&gt;0,E53&gt;0),D53/E53,"")</f>
        <v/>
      </c>
      <c r="J53" s="3" t="str">
        <f aca="false">IF(AND(D53&gt;0,F53&gt;0),D53/F53,"")</f>
        <v/>
      </c>
    </row>
    <row r="54" customFormat="false" ht="15" hidden="false" customHeight="false" outlineLevel="0" collapsed="false">
      <c r="A54" s="8" t="n">
        <v>50</v>
      </c>
      <c r="B54" s="8" t="s">
        <v>37</v>
      </c>
      <c r="C54" s="8" t="s">
        <v>68</v>
      </c>
      <c r="D54" s="11" t="n">
        <v>0</v>
      </c>
      <c r="E54" s="5" t="n">
        <v>3</v>
      </c>
      <c r="F54" s="5" t="n">
        <v>1</v>
      </c>
      <c r="G54" s="11" t="n">
        <v>0</v>
      </c>
      <c r="H54" s="7" t="str">
        <f aca="false">IF(D54&gt;0,G54/D54,"")</f>
        <v/>
      </c>
      <c r="I54" s="3" t="str">
        <f aca="false">IF(AND(D54&gt;0,E54&gt;0),D54/E54,"")</f>
        <v/>
      </c>
      <c r="J54" s="3" t="str">
        <f aca="false">IF(AND(D54&gt;0,F54&gt;0),D54/F54,"")</f>
        <v/>
      </c>
    </row>
    <row r="55" customFormat="false" ht="15" hidden="false" customHeight="false" outlineLevel="0" collapsed="false">
      <c r="A55" s="8" t="n">
        <v>51</v>
      </c>
      <c r="B55" s="8" t="s">
        <v>69</v>
      </c>
      <c r="C55" s="8" t="s">
        <v>25</v>
      </c>
      <c r="D55" s="11" t="n">
        <v>0</v>
      </c>
      <c r="E55" s="5" t="n">
        <v>157</v>
      </c>
      <c r="F55" s="5" t="n">
        <v>0</v>
      </c>
      <c r="G55" s="11" t="n">
        <v>0</v>
      </c>
      <c r="H55" s="7" t="str">
        <f aca="false">IF(D55&gt;0,G55/D55,"")</f>
        <v/>
      </c>
      <c r="I55" s="3" t="str">
        <f aca="false">IF(AND(D55&gt;0,E55&gt;0),D55/E55,"")</f>
        <v/>
      </c>
      <c r="J55" s="3" t="str">
        <f aca="false">IF(AND(D55&gt;0,F55&gt;0),D55/F55,"")</f>
        <v/>
      </c>
    </row>
    <row r="56" customFormat="false" ht="15" hidden="false" customHeight="false" outlineLevel="0" collapsed="false">
      <c r="A56" s="8" t="n">
        <v>52</v>
      </c>
      <c r="B56" s="8" t="s">
        <v>70</v>
      </c>
      <c r="C56" s="8" t="s">
        <v>28</v>
      </c>
      <c r="D56" s="11" t="n">
        <v>2480.72</v>
      </c>
      <c r="E56" s="5" t="n">
        <v>8</v>
      </c>
      <c r="F56" s="5" t="n">
        <v>0</v>
      </c>
      <c r="G56" s="11" t="n">
        <v>0</v>
      </c>
      <c r="H56" s="7" t="n">
        <f aca="false">IF(D56&gt;0,G56/D56,"")</f>
        <v>0</v>
      </c>
      <c r="I56" s="3" t="n">
        <f aca="false">IF(AND(D56&gt;0,E56&gt;0),D56/E56,"")</f>
        <v>310.09</v>
      </c>
      <c r="J56" s="3" t="str">
        <f aca="false">IF(AND(D56&gt;0,F56&gt;0),D56/F56,"")</f>
        <v/>
      </c>
    </row>
    <row r="57" customFormat="false" ht="15" hidden="false" customHeight="false" outlineLevel="0" collapsed="false">
      <c r="A57" s="8" t="n">
        <v>53</v>
      </c>
      <c r="B57" s="8" t="s">
        <v>71</v>
      </c>
      <c r="C57" s="8" t="s">
        <v>25</v>
      </c>
      <c r="D57" s="11" t="n">
        <v>0</v>
      </c>
      <c r="E57" s="5" t="n">
        <v>5</v>
      </c>
      <c r="F57" s="5" t="n">
        <v>0</v>
      </c>
      <c r="G57" s="11" t="n">
        <v>0</v>
      </c>
      <c r="H57" s="7" t="str">
        <f aca="false">IF(D57&gt;0,G57/D57,"")</f>
        <v/>
      </c>
      <c r="I57" s="3" t="str">
        <f aca="false">IF(AND(D57&gt;0,E57&gt;0),D57/E57,"")</f>
        <v/>
      </c>
      <c r="J57" s="3" t="str">
        <f aca="false">IF(AND(D57&gt;0,F57&gt;0),D57/F57,"")</f>
        <v/>
      </c>
    </row>
    <row r="58" customFormat="false" ht="15" hidden="false" customHeight="false" outlineLevel="0" collapsed="false">
      <c r="A58" s="8" t="n">
        <v>54</v>
      </c>
      <c r="B58" s="8" t="s">
        <v>72</v>
      </c>
      <c r="C58" s="8" t="s">
        <v>25</v>
      </c>
      <c r="D58" s="11" t="n">
        <v>0</v>
      </c>
      <c r="E58" s="5" t="n">
        <v>5</v>
      </c>
      <c r="F58" s="5" t="n">
        <v>0</v>
      </c>
      <c r="G58" s="11" t="n">
        <v>0</v>
      </c>
      <c r="H58" s="7" t="str">
        <f aca="false">IF(D58&gt;0,G58/D58,"")</f>
        <v/>
      </c>
      <c r="I58" s="3" t="str">
        <f aca="false">IF(AND(D58&gt;0,E58&gt;0),D58/E58,"")</f>
        <v/>
      </c>
      <c r="J58" s="3" t="str">
        <f aca="false">IF(AND(D58&gt;0,F58&gt;0),D58/F58,"")</f>
        <v/>
      </c>
    </row>
    <row r="59" customFormat="false" ht="15" hidden="false" customHeight="false" outlineLevel="0" collapsed="false">
      <c r="A59" s="8" t="n">
        <v>55</v>
      </c>
      <c r="B59" s="8" t="s">
        <v>73</v>
      </c>
      <c r="C59" s="8" t="s">
        <v>28</v>
      </c>
      <c r="D59" s="11" t="n">
        <v>2081.74</v>
      </c>
      <c r="E59" s="5" t="n">
        <v>5</v>
      </c>
      <c r="F59" s="5" t="n">
        <v>0</v>
      </c>
      <c r="G59" s="11" t="n">
        <v>0</v>
      </c>
      <c r="H59" s="7" t="n">
        <f aca="false">IF(D59&gt;0,G59/D59,"")</f>
        <v>0</v>
      </c>
      <c r="I59" s="3" t="n">
        <f aca="false">IF(AND(D59&gt;0,E59&gt;0),D59/E59,"")</f>
        <v>416.348</v>
      </c>
      <c r="J59" s="3" t="str">
        <f aca="false">IF(AND(D59&gt;0,F59&gt;0),D59/F59,"")</f>
        <v/>
      </c>
    </row>
    <row r="60" customFormat="false" ht="15" hidden="false" customHeight="false" outlineLevel="0" collapsed="false">
      <c r="A60" s="8" t="n">
        <v>56</v>
      </c>
      <c r="B60" s="8" t="s">
        <v>74</v>
      </c>
      <c r="C60" s="8" t="s">
        <v>28</v>
      </c>
      <c r="D60" s="11" t="n">
        <v>828.25</v>
      </c>
      <c r="E60" s="5" t="n">
        <v>5</v>
      </c>
      <c r="F60" s="5" t="n">
        <v>0</v>
      </c>
      <c r="G60" s="11" t="n">
        <v>0</v>
      </c>
      <c r="H60" s="7" t="n">
        <f aca="false">IF(D60&gt;0,G60/D60,"")</f>
        <v>0</v>
      </c>
      <c r="I60" s="3" t="n">
        <f aca="false">IF(AND(D60&gt;0,E60&gt;0),D60/E60,"")</f>
        <v>165.65</v>
      </c>
      <c r="J60" s="3" t="str">
        <f aca="false">IF(AND(D60&gt;0,F60&gt;0),D60/F60,"")</f>
        <v/>
      </c>
    </row>
    <row r="61" customFormat="false" ht="15" hidden="false" customHeight="false" outlineLevel="0" collapsed="false">
      <c r="A61" s="8" t="n">
        <v>57</v>
      </c>
      <c r="B61" s="8" t="s">
        <v>75</v>
      </c>
      <c r="C61" s="8" t="s">
        <v>25</v>
      </c>
      <c r="D61" s="11" t="n">
        <v>0</v>
      </c>
      <c r="E61" s="5" t="n">
        <v>4</v>
      </c>
      <c r="F61" s="5" t="n">
        <v>0</v>
      </c>
      <c r="G61" s="11" t="n">
        <v>0</v>
      </c>
      <c r="H61" s="7" t="str">
        <f aca="false">IF(D61&gt;0,G61/D61,"")</f>
        <v/>
      </c>
      <c r="I61" s="3" t="str">
        <f aca="false">IF(AND(D61&gt;0,E61&gt;0),D61/E61,"")</f>
        <v/>
      </c>
      <c r="J61" s="3" t="str">
        <f aca="false">IF(AND(D61&gt;0,F61&gt;0),D61/F61,"")</f>
        <v/>
      </c>
    </row>
    <row r="62" customFormat="false" ht="15" hidden="false" customHeight="false" outlineLevel="0" collapsed="false">
      <c r="A62" s="8" t="n">
        <v>58</v>
      </c>
      <c r="B62" s="8" t="s">
        <v>76</v>
      </c>
      <c r="C62" s="8" t="s">
        <v>25</v>
      </c>
      <c r="D62" s="11" t="n">
        <v>0</v>
      </c>
      <c r="E62" s="5" t="n">
        <v>3</v>
      </c>
      <c r="F62" s="5" t="n">
        <v>0</v>
      </c>
      <c r="G62" s="11" t="n">
        <v>0</v>
      </c>
      <c r="H62" s="7" t="str">
        <f aca="false">IF(D62&gt;0,G62/D62,"")</f>
        <v/>
      </c>
      <c r="I62" s="3" t="str">
        <f aca="false">IF(AND(D62&gt;0,E62&gt;0),D62/E62,"")</f>
        <v/>
      </c>
      <c r="J62" s="3" t="str">
        <f aca="false">IF(AND(D62&gt;0,F62&gt;0),D62/F62,"")</f>
        <v/>
      </c>
    </row>
    <row r="63" customFormat="false" ht="15" hidden="false" customHeight="false" outlineLevel="0" collapsed="false">
      <c r="A63" s="8" t="n">
        <v>59</v>
      </c>
      <c r="B63" s="8" t="s">
        <v>77</v>
      </c>
      <c r="C63" s="8" t="s">
        <v>25</v>
      </c>
      <c r="D63" s="11" t="n">
        <v>0</v>
      </c>
      <c r="E63" s="5" t="n">
        <v>3</v>
      </c>
      <c r="F63" s="5" t="n">
        <v>0</v>
      </c>
      <c r="G63" s="11" t="n">
        <v>0</v>
      </c>
      <c r="H63" s="7" t="str">
        <f aca="false">IF(D63&gt;0,G63/D63,"")</f>
        <v/>
      </c>
      <c r="I63" s="3" t="str">
        <f aca="false">IF(AND(D63&gt;0,E63&gt;0),D63/E63,"")</f>
        <v/>
      </c>
      <c r="J63" s="3" t="str">
        <f aca="false">IF(AND(D63&gt;0,F63&gt;0),D63/F63,"")</f>
        <v/>
      </c>
    </row>
    <row r="64" customFormat="false" ht="15" hidden="false" customHeight="false" outlineLevel="0" collapsed="false">
      <c r="A64" s="8" t="n">
        <v>60</v>
      </c>
      <c r="B64" s="8" t="s">
        <v>78</v>
      </c>
      <c r="C64" s="8" t="s">
        <v>25</v>
      </c>
      <c r="D64" s="11" t="n">
        <v>0</v>
      </c>
      <c r="E64" s="5" t="n">
        <v>2</v>
      </c>
      <c r="F64" s="5" t="n">
        <v>0</v>
      </c>
      <c r="G64" s="11" t="n">
        <v>0</v>
      </c>
      <c r="H64" s="7" t="str">
        <f aca="false">IF(D64&gt;0,G64/D64,"")</f>
        <v/>
      </c>
      <c r="I64" s="3" t="str">
        <f aca="false">IF(AND(D64&gt;0,E64&gt;0),D64/E64,"")</f>
        <v/>
      </c>
      <c r="J64" s="3" t="str">
        <f aca="false">IF(AND(D64&gt;0,F64&gt;0),D64/F64,"")</f>
        <v/>
      </c>
    </row>
    <row r="65" customFormat="false" ht="15" hidden="false" customHeight="false" outlineLevel="0" collapsed="false">
      <c r="A65" s="8" t="n">
        <v>61</v>
      </c>
      <c r="B65" s="8" t="s">
        <v>79</v>
      </c>
      <c r="C65" s="8" t="s">
        <v>28</v>
      </c>
      <c r="D65" s="11" t="n">
        <v>0</v>
      </c>
      <c r="E65" s="5" t="n">
        <v>1</v>
      </c>
      <c r="F65" s="5" t="n">
        <v>0</v>
      </c>
      <c r="G65" s="11" t="n">
        <v>0</v>
      </c>
      <c r="H65" s="7" t="str">
        <f aca="false">IF(D65&gt;0,G65/D65,"")</f>
        <v/>
      </c>
      <c r="I65" s="3" t="str">
        <f aca="false">IF(AND(D65&gt;0,E65&gt;0),D65/E65,"")</f>
        <v/>
      </c>
      <c r="J65" s="3" t="str">
        <f aca="false">IF(AND(D65&gt;0,F65&gt;0),D65/F65,"")</f>
        <v/>
      </c>
    </row>
    <row r="66" customFormat="false" ht="15" hidden="false" customHeight="false" outlineLevel="0" collapsed="false">
      <c r="A66" s="8" t="n">
        <v>62</v>
      </c>
      <c r="B66" s="8" t="s">
        <v>80</v>
      </c>
      <c r="C66" s="8" t="s">
        <v>21</v>
      </c>
      <c r="D66" s="11" t="n">
        <v>0</v>
      </c>
      <c r="E66" s="5" t="n">
        <v>1</v>
      </c>
      <c r="F66" s="5" t="n">
        <v>0</v>
      </c>
      <c r="G66" s="11" t="n">
        <v>0</v>
      </c>
      <c r="H66" s="7" t="str">
        <f aca="false">IF(D66&gt;0,G66/D66,"")</f>
        <v/>
      </c>
      <c r="I66" s="3" t="str">
        <f aca="false">IF(AND(D66&gt;0,E66&gt;0),D66/E66,"")</f>
        <v/>
      </c>
      <c r="J66" s="3" t="str">
        <f aca="false">IF(AND(D66&gt;0,F66&gt;0),D66/F66,"")</f>
        <v/>
      </c>
    </row>
    <row r="67" customFormat="false" ht="15" hidden="false" customHeight="false" outlineLevel="0" collapsed="false">
      <c r="A67" s="8" t="n">
        <v>63</v>
      </c>
      <c r="B67" s="8" t="s">
        <v>81</v>
      </c>
      <c r="C67" s="8" t="s">
        <v>68</v>
      </c>
      <c r="D67" s="11" t="n">
        <v>0</v>
      </c>
      <c r="E67" s="5" t="n">
        <v>1</v>
      </c>
      <c r="F67" s="5" t="n">
        <v>0</v>
      </c>
      <c r="G67" s="11" t="n">
        <v>0</v>
      </c>
      <c r="H67" s="7" t="str">
        <f aca="false">IF(D67&gt;0,G67/D67,"")</f>
        <v/>
      </c>
      <c r="I67" s="3" t="str">
        <f aca="false">IF(AND(D67&gt;0,E67&gt;0),D67/E67,"")</f>
        <v/>
      </c>
      <c r="J67" s="3" t="str">
        <f aca="false">IF(AND(D67&gt;0,F67&gt;0),D67/F67,"")</f>
        <v/>
      </c>
    </row>
    <row r="68" customFormat="false" ht="15" hidden="false" customHeight="false" outlineLevel="0" collapsed="false">
      <c r="B68" s="8" t="s">
        <v>82</v>
      </c>
      <c r="C68" s="8" t="s">
        <v>28</v>
      </c>
      <c r="D68" s="11" t="n">
        <v>9316.38</v>
      </c>
      <c r="E68" s="12"/>
      <c r="F68" s="12"/>
      <c r="G68" s="13"/>
      <c r="H68" s="14"/>
      <c r="I68" s="13"/>
      <c r="J68" s="13"/>
    </row>
    <row r="69" customFormat="false" ht="15" hidden="false" customHeight="false" outlineLevel="0" collapsed="false">
      <c r="B69" s="2" t="s">
        <v>83</v>
      </c>
      <c r="D69" s="15" t="n">
        <f aca="false">SUM(D5:D68)</f>
        <v>159196.02</v>
      </c>
      <c r="E69" s="16" t="n">
        <f aca="false">SUM(E5:E68)</f>
        <v>3905</v>
      </c>
      <c r="F69" s="16" t="n">
        <f aca="false">SUM(F5:F68)</f>
        <v>933</v>
      </c>
      <c r="G69" s="15" t="n">
        <f aca="false">SUM(G5:G68)</f>
        <v>1061371.77</v>
      </c>
      <c r="H69" s="17" t="n">
        <f aca="false">IF(D69&gt;0,G69/D69,"")</f>
        <v>6.66707477988457</v>
      </c>
      <c r="I69" s="15" t="n">
        <f aca="false">D69/E69</f>
        <v>40.7672266325224</v>
      </c>
      <c r="J69" s="15" t="n">
        <f aca="false">D69/F69</f>
        <v>170.628102893891</v>
      </c>
    </row>
  </sheetData>
  <autoFilter ref="A4:J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84</v>
      </c>
    </row>
    <row r="3" customFormat="false" ht="23.85" hidden="false" customHeight="false" outlineLevel="0" collapsed="false">
      <c r="A3" s="10" t="s">
        <v>18</v>
      </c>
      <c r="B3" s="10" t="s">
        <v>19</v>
      </c>
      <c r="C3" s="10" t="s">
        <v>2</v>
      </c>
      <c r="D3" s="10" t="s">
        <v>4</v>
      </c>
      <c r="E3" s="10" t="s">
        <v>5</v>
      </c>
      <c r="F3" s="10" t="s">
        <v>85</v>
      </c>
      <c r="G3" s="10" t="s">
        <v>8</v>
      </c>
    </row>
    <row r="4" customFormat="false" ht="15" hidden="false" customHeight="false" outlineLevel="0" collapsed="false">
      <c r="A4" s="8" t="s">
        <v>28</v>
      </c>
      <c r="B4" s="3" t="n">
        <f aca="false">SUMIFS('All Campaigns Ranked'!$D$5:$D$68,'All Campaigns Ranked'!$C$5:$C$68,$A4)</f>
        <v>159196.02</v>
      </c>
      <c r="C4" s="4" t="n">
        <f aca="false">SUMIFS('All Campaigns Ranked'!$E$5:$E$68,'All Campaigns Ranked'!$C$5:$C$68,$A4)</f>
        <v>1898</v>
      </c>
      <c r="D4" s="4" t="n">
        <f aca="false">SUMIFS('All Campaigns Ranked'!$F$5:$F$68,'All Campaigns Ranked'!$C$5:$C$68,$A4)</f>
        <v>563</v>
      </c>
      <c r="E4" s="3" t="n">
        <f aca="false">SUMIFS('All Campaigns Ranked'!$G$5:$G$68,'All Campaigns Ranked'!$C$5:$C$68,$A4)</f>
        <v>436371.64</v>
      </c>
      <c r="F4" s="18" t="n">
        <f aca="false">E4/$E$10</f>
        <v>0.411139293821617</v>
      </c>
      <c r="G4" s="7" t="n">
        <f aca="false">IF(B4&gt;0,E4/B4,"")</f>
        <v>2.74109641685766</v>
      </c>
    </row>
    <row r="5" customFormat="false" ht="15" hidden="false" customHeight="false" outlineLevel="0" collapsed="false">
      <c r="A5" s="8" t="s">
        <v>21</v>
      </c>
      <c r="B5" s="3" t="n">
        <f aca="false">SUMIFS('All Campaigns Ranked'!$D$5:$D$68,'All Campaigns Ranked'!$C$5:$C$68,$A5)</f>
        <v>0</v>
      </c>
      <c r="C5" s="4" t="n">
        <f aca="false">SUMIFS('All Campaigns Ranked'!$E$5:$E$68,'All Campaigns Ranked'!$C$5:$C$68,$A5)</f>
        <v>1288</v>
      </c>
      <c r="D5" s="4" t="n">
        <f aca="false">SUMIFS('All Campaigns Ranked'!$F$5:$F$68,'All Campaigns Ranked'!$C$5:$C$68,$A5)</f>
        <v>247</v>
      </c>
      <c r="E5" s="3" t="n">
        <f aca="false">SUMIFS('All Campaigns Ranked'!$G$5:$G$68,'All Campaigns Ranked'!$C$5:$C$68,$A5)</f>
        <v>368030.27</v>
      </c>
      <c r="F5" s="18" t="n">
        <f aca="false">E5/$E$10</f>
        <v>0.34674963137563</v>
      </c>
      <c r="G5" s="7" t="str">
        <f aca="false">IF(B5&gt;0,E5/B5,"")</f>
        <v/>
      </c>
    </row>
    <row r="6" customFormat="false" ht="15" hidden="false" customHeight="false" outlineLevel="0" collapsed="false">
      <c r="A6" s="8" t="s">
        <v>25</v>
      </c>
      <c r="B6" s="3" t="n">
        <f aca="false">SUMIFS('All Campaigns Ranked'!$D$5:$D$68,'All Campaigns Ranked'!$C$5:$C$68,$A6)</f>
        <v>0</v>
      </c>
      <c r="C6" s="4" t="n">
        <f aca="false">SUMIFS('All Campaigns Ranked'!$E$5:$E$68,'All Campaigns Ranked'!$C$5:$C$68,$A6)</f>
        <v>588</v>
      </c>
      <c r="D6" s="4" t="n">
        <f aca="false">SUMIFS('All Campaigns Ranked'!$F$5:$F$68,'All Campaigns Ranked'!$C$5:$C$68,$A6)</f>
        <v>99</v>
      </c>
      <c r="E6" s="3" t="n">
        <f aca="false">SUMIFS('All Campaigns Ranked'!$G$5:$G$68,'All Campaigns Ranked'!$C$5:$C$68,$A6)</f>
        <v>133522.85</v>
      </c>
      <c r="F6" s="18" t="n">
        <f aca="false">E6/$E$10</f>
        <v>0.125802149420273</v>
      </c>
      <c r="G6" s="7" t="str">
        <f aca="false">IF(B6&gt;0,E6/B6,"")</f>
        <v/>
      </c>
    </row>
    <row r="7" customFormat="false" ht="15" hidden="false" customHeight="false" outlineLevel="0" collapsed="false">
      <c r="A7" s="8" t="s">
        <v>23</v>
      </c>
      <c r="B7" s="3" t="n">
        <f aca="false">SUMIFS('All Campaigns Ranked'!$D$5:$D$68,'All Campaigns Ranked'!$C$5:$C$68,$A7)</f>
        <v>0</v>
      </c>
      <c r="C7" s="4" t="n">
        <f aca="false">SUMIFS('All Campaigns Ranked'!$E$5:$E$68,'All Campaigns Ranked'!$C$5:$C$68,$A7)</f>
        <v>112</v>
      </c>
      <c r="D7" s="4" t="n">
        <f aca="false">SUMIFS('All Campaigns Ranked'!$F$5:$F$68,'All Campaigns Ranked'!$C$5:$C$68,$A7)</f>
        <v>15</v>
      </c>
      <c r="E7" s="3" t="n">
        <f aca="false">SUMIFS('All Campaigns Ranked'!$G$5:$G$68,'All Campaigns Ranked'!$C$5:$C$68,$A7)</f>
        <v>122269.95</v>
      </c>
      <c r="F7" s="18" t="n">
        <f aca="false">E7/$E$10</f>
        <v>0.115199926600648</v>
      </c>
      <c r="G7" s="7" t="str">
        <f aca="false">IF(B7&gt;0,E7/B7,"")</f>
        <v/>
      </c>
    </row>
    <row r="8" customFormat="false" ht="15" hidden="false" customHeight="false" outlineLevel="0" collapsed="false">
      <c r="A8" s="8" t="s">
        <v>57</v>
      </c>
      <c r="B8" s="3" t="n">
        <f aca="false">SUMIFS('All Campaigns Ranked'!$D$5:$D$68,'All Campaigns Ranked'!$C$5:$C$68,$A8)</f>
        <v>0</v>
      </c>
      <c r="C8" s="4" t="n">
        <f aca="false">SUMIFS('All Campaigns Ranked'!$E$5:$E$68,'All Campaigns Ranked'!$C$5:$C$68,$A8)</f>
        <v>11</v>
      </c>
      <c r="D8" s="4" t="n">
        <f aca="false">SUMIFS('All Campaigns Ranked'!$F$5:$F$68,'All Campaigns Ranked'!$C$5:$C$68,$A8)</f>
        <v>6</v>
      </c>
      <c r="E8" s="3" t="n">
        <f aca="false">SUMIFS('All Campaigns Ranked'!$G$5:$G$68,'All Campaigns Ranked'!$C$5:$C$68,$A8)</f>
        <v>1177.06</v>
      </c>
      <c r="F8" s="18" t="n">
        <f aca="false">E8/$E$10</f>
        <v>0.00110899878183118</v>
      </c>
      <c r="G8" s="7" t="str">
        <f aca="false">IF(B8&gt;0,E8/B8,"")</f>
        <v/>
      </c>
    </row>
    <row r="9" customFormat="false" ht="15" hidden="false" customHeight="false" outlineLevel="0" collapsed="false">
      <c r="A9" s="8" t="s">
        <v>68</v>
      </c>
      <c r="B9" s="3" t="n">
        <f aca="false">SUMIFS('All Campaigns Ranked'!$D$5:$D$68,'All Campaigns Ranked'!$C$5:$C$68,$A9)</f>
        <v>0</v>
      </c>
      <c r="C9" s="4" t="n">
        <f aca="false">SUMIFS('All Campaigns Ranked'!$E$5:$E$68,'All Campaigns Ranked'!$C$5:$C$68,$A9)</f>
        <v>8</v>
      </c>
      <c r="D9" s="4" t="n">
        <f aca="false">SUMIFS('All Campaigns Ranked'!$F$5:$F$68,'All Campaigns Ranked'!$C$5:$C$68,$A9)</f>
        <v>3</v>
      </c>
      <c r="E9" s="3" t="n">
        <f aca="false">SUMIFS('All Campaigns Ranked'!$G$5:$G$68,'All Campaigns Ranked'!$C$5:$C$68,$A9)</f>
        <v>0</v>
      </c>
      <c r="F9" s="18" t="n">
        <f aca="false">E9/$E$10</f>
        <v>0</v>
      </c>
      <c r="G9" s="7" t="str">
        <f aca="false">IF(B9&gt;0,E9/B9,"")</f>
        <v/>
      </c>
    </row>
    <row r="10" customFormat="false" ht="15" hidden="false" customHeight="false" outlineLevel="0" collapsed="false">
      <c r="A10" s="2" t="s">
        <v>83</v>
      </c>
      <c r="B10" s="15" t="n">
        <f aca="false">SUM(B4:B9)</f>
        <v>159196.02</v>
      </c>
      <c r="C10" s="16" t="n">
        <f aca="false">SUM(C4:C9)</f>
        <v>3905</v>
      </c>
      <c r="D10" s="16" t="n">
        <f aca="false">SUM(D4:D9)</f>
        <v>933</v>
      </c>
      <c r="E10" s="15" t="n">
        <f aca="false">SUM(E4:E9)</f>
        <v>1061371.77</v>
      </c>
      <c r="F10" s="19" t="n">
        <f aca="false">SUM(F4:F9)</f>
        <v>1</v>
      </c>
      <c r="G10" s="17" t="n">
        <f aca="false">E10/B10</f>
        <v>6.66707477988457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2026-10-07T11:35:30Z</dcterms:created>
  <dc:creator>openpyxl</dc:creator>
  <dc:description/>
  <dc:language>en-US</dc:language>
  <cp:lastModifiedBy/>
  <dcterms:modified xsi:type="dcterms:W3CDTF">2026-10-07T11:35:30Z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