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 Month" sheetId="1" state="visible" r:id="rId3"/>
    <sheet name="By Source" sheetId="2" state="visible" r:id="rId4"/>
    <sheet name="Jobs" sheetId="3" state="visible" r:id="rId5"/>
  </sheets>
  <definedNames>
    <definedName function="false" hidden="true" localSheetId="2" name="_xlnm._FilterDatabase" vbProcedure="false">Jobs!$A$4:$G$59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<sst xmlns="http://schemas.openxmlformats.org/spreadsheetml/2006/main" count="340" uniqueCount="119">
  <si>
    <t xml:space="preserve">Brand-assisted revenue by month (estimate)</t>
  </si>
  <si>
    <t xml:space="preserve">Month</t>
  </si>
  <si>
    <t xml:space="preserve">Jobs</t>
  </si>
  <si>
    <t xml:space="preserve">Brand-assisted revenue</t>
  </si>
  <si>
    <t xml:space="preserve">via Direct</t>
  </si>
  <si>
    <t xml:space="preserve">via Other</t>
  </si>
  <si>
    <t xml:space="preserve">via Organic</t>
  </si>
  <si>
    <t xml:space="preserve">via Advertising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</si>
  <si>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</si>
  <si>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</si>
  <si>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</si>
  <si>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</si>
  <si>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</si>
  <si>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</si>
  <si>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</si>
  <si>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</si>
  <si>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</si>
  <si>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</si>
  <si>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Total</t>
  </si>
  <si>
    <t xml:space="preserve">October covers Oct 1–25. Five jobs make up about 68% of the total; three Direct jobs ($97K) trace to the same March 13 main-line call.</t>
  </si>
  <si>
    <t xml:space="preserve">Where brand-assisted customers came back through</t>
  </si>
  <si>
    <t xml:space="preserve">Channel</t>
  </si>
  <si>
    <t xml:space="preserve">Campaign</t>
  </si>
  <si>
    <t xml:space="preserve">Revenue</t>
  </si>
  <si>
    <t xml:space="preserve">Direct</t>
  </si>
  <si>
    <t xml:space="preserve">Direct Web Traffic</t>
  </si>
  <si>
    <t xml:space="preserve">Organic</t>
  </si>
  <si>
    <t xml:space="preserve">Charleston GBP | Search</t>
  </si>
  <si>
    <t xml:space="preserve">Other</t>
  </si>
  <si>
    <t xml:space="preserve">Website</t>
  </si>
  <si>
    <t xml:space="preserve">Uncategorized</t>
  </si>
  <si>
    <t xml:space="preserve">Advertising</t>
  </si>
  <si>
    <t xml:space="preserve">PPC_Brand_Core_Myrtle-Beach</t>
  </si>
  <si>
    <t xml:space="preserve">Myrtle Beach GBP | Search</t>
  </si>
  <si>
    <t xml:space="preserve">Google Organic</t>
  </si>
  <si>
    <t xml:space="preserve">(LSA) Coastal Air Plus (HVAC) / David Long</t>
  </si>
  <si>
    <t xml:space="preserve">[V] [Search] | Brand | mCPC</t>
  </si>
  <si>
    <t xml:space="preserve">Performance Max - HVAC</t>
  </si>
  <si>
    <t xml:space="preserve">(LSA) Coastal Air Plus (Plumbing) / David Long</t>
  </si>
  <si>
    <t xml:space="preserve">Honey Do List Plumbing Campaign</t>
  </si>
  <si>
    <t xml:space="preserve">Performance Max - Remarketing</t>
  </si>
  <si>
    <t xml:space="preserve">Google Ads Pending Validation</t>
  </si>
  <si>
    <t xml:space="preserve">PPC_Brand_Core_Zip-Code</t>
  </si>
  <si>
    <t xml:space="preserve">Brand-assisted jobs: first contact was a Mainline call, later came back through marketing (Jan 1 – Oct 25, 2026)</t>
  </si>
  <si>
    <t xml:space="preserve">Estimate from a job-by-job trace of Searchlight data. Searchlight credits these jobs to Mainline (excluded), so they are not in the report total.</t>
  </si>
  <si>
    <t xml:space="preserve">Job closed</t>
  </si>
  <si>
    <t xml:space="preserve">Closed revenue</t>
  </si>
  <si>
    <t xml:space="preserve">Came back through (channel)</t>
  </si>
  <si>
    <t xml:space="preserve">Came back through (campaign)</t>
  </si>
  <si>
    <t xml:space="preserve">First Mainline call</t>
  </si>
  <si>
    <t xml:space="preserve">Days between</t>
  </si>
  <si>
    <t xml:space="preserve">2026-01-14</t>
  </si>
  <si>
    <t xml:space="preserve">2026-01-21</t>
  </si>
  <si>
    <t xml:space="preserve">2026-04-02</t>
  </si>
  <si>
    <t xml:space="preserve">2026-02-02</t>
  </si>
  <si>
    <t xml:space="preserve">2026-04-03</t>
  </si>
  <si>
    <t xml:space="preserve">2026-04-13</t>
  </si>
  <si>
    <t xml:space="preserve">2026-02-26</t>
  </si>
  <si>
    <t xml:space="preserve">2026-04-21</t>
  </si>
  <si>
    <t xml:space="preserve">2026-04-23</t>
  </si>
  <si>
    <t xml:space="preserve">2026-04-27</t>
  </si>
  <si>
    <t xml:space="preserve">2026-05-18</t>
  </si>
  <si>
    <t xml:space="preserve">2026-01-22</t>
  </si>
  <si>
    <t xml:space="preserve">2026-06-02</t>
  </si>
  <si>
    <t xml:space="preserve">2026-01-05</t>
  </si>
  <si>
    <t xml:space="preserve">2026-06-11</t>
  </si>
  <si>
    <t xml:space="preserve">2026-03-13</t>
  </si>
  <si>
    <t xml:space="preserve">2026-06-13</t>
  </si>
  <si>
    <t xml:space="preserve">2026-01-27</t>
  </si>
  <si>
    <t xml:space="preserve">2026-06-16</t>
  </si>
  <si>
    <t xml:space="preserve">2026-01-30</t>
  </si>
  <si>
    <t xml:space="preserve">2026-03-06</t>
  </si>
  <si>
    <t xml:space="preserve">2026-06-18</t>
  </si>
  <si>
    <t xml:space="preserve">2026-06-19</t>
  </si>
  <si>
    <t xml:space="preserve">2026-06-22</t>
  </si>
  <si>
    <t xml:space="preserve">2026-01-08</t>
  </si>
  <si>
    <t xml:space="preserve">2026-06-30</t>
  </si>
  <si>
    <t xml:space="preserve">2026-07-02</t>
  </si>
  <si>
    <t xml:space="preserve">2026-07-03</t>
  </si>
  <si>
    <t xml:space="preserve">2026-07-08</t>
  </si>
  <si>
    <t xml:space="preserve">2026-07-16</t>
  </si>
  <si>
    <t xml:space="preserve">2026-07-20</t>
  </si>
  <si>
    <t xml:space="preserve">2026-03-24</t>
  </si>
  <si>
    <t xml:space="preserve">2026-07-29</t>
  </si>
  <si>
    <t xml:space="preserve">2026-08-04</t>
  </si>
  <si>
    <t xml:space="preserve">2026-02-24</t>
  </si>
  <si>
    <t xml:space="preserve">2026-08-05</t>
  </si>
  <si>
    <t xml:space="preserve">2026-01-26</t>
  </si>
  <si>
    <t xml:space="preserve">2026-08-07</t>
  </si>
  <si>
    <t xml:space="preserve">2026-01-09</t>
  </si>
  <si>
    <t xml:space="preserve">2026-04-18</t>
  </si>
  <si>
    <t xml:space="preserve">2026-08-12</t>
  </si>
  <si>
    <t xml:space="preserve">2026-08-13</t>
  </si>
  <si>
    <t xml:space="preserve">2026-08-17</t>
  </si>
  <si>
    <t xml:space="preserve">2026-08-18</t>
  </si>
  <si>
    <t xml:space="preserve">2026-08-25</t>
  </si>
  <si>
    <t xml:space="preserve">2026-08-27</t>
  </si>
  <si>
    <t xml:space="preserve">2026-08-28</t>
  </si>
  <si>
    <t xml:space="preserve">2026-08-29</t>
  </si>
  <si>
    <t xml:space="preserve">2026-02-19</t>
  </si>
  <si>
    <t xml:space="preserve">2026-09-01</t>
  </si>
  <si>
    <t xml:space="preserve">2026-09-03</t>
  </si>
  <si>
    <t xml:space="preserve">2026-09-09</t>
  </si>
  <si>
    <t xml:space="preserve">2026-09-10</t>
  </si>
  <si>
    <t xml:space="preserve">2026-09-15</t>
  </si>
  <si>
    <t xml:space="preserve">2026-09-17</t>
  </si>
  <si>
    <t xml:space="preserve">2026-02-16</t>
  </si>
  <si>
    <t xml:space="preserve">2026-09-30</t>
  </si>
  <si>
    <t xml:space="preserve">2026-01-13</t>
  </si>
  <si>
    <t xml:space="preserve">2026-10-01</t>
  </si>
  <si>
    <t xml:space="preserve">2026-10-05</t>
  </si>
  <si>
    <t xml:space="preserve">2026-10-12</t>
  </si>
  <si>
    <t xml:space="preserve">2026-10-16</t>
  </si>
  <si>
    <t xml:space="preserve">2026-07-13</t>
  </si>
  <si>
    <t xml:space="preserve">2026-10-19</t>
  </si>
  <si>
    <t xml:space="preserve">2026-10-21</t>
  </si>
  <si>
    <t xml:space="preserve">2026-06-17</t>
  </si>
  <si>
    <t xml:space="preserve">2026-10-22</t>
  </si>
  <si>
    <t xml:space="preserve">2026-05-07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</si>
</sst>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7" min="4" style="0" width="14"/>
  </cols>
  <sheetData>
    <row r="1" customFormat="false" ht="1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n">
        <f aca="false">COUNTIFS(Jobs!$B$5:$B$59,A4)</f>
        <v>2</v>
      </c>
      <c r="C4" s="4" t="n">
        <f aca="false">SUMIFS(Jobs!$C$5:$C$59,Jobs!$B$5:$B$59,A4)</f>
        <v>894.7</v>
      </c>
      <c r="D4" s="4" t="n">
        <f aca="false">SUMIFS(Jobs!$C$5:$C$59,Jobs!$B$5:$B$59,$A4,Jobs!$D$5:$D$59,"Direct")</f>
        <v>0</v>
      </c>
      <c r="E4" s="4" t="n">
        <f aca="false">SUMIFS(Jobs!$C$5:$C$59,Jobs!$B$5:$B$59,$A4,Jobs!$D$5:$D$59,"Other")</f>
        <v>0</v>
      </c>
      <c r="F4" s="4" t="n">
        <f aca="false">SUMIFS(Jobs!$C$5:$C$59,Jobs!$B$5:$B$59,$A4,Jobs!$D$5:$D$59,"Organic")</f>
        <v>0</v>
      </c>
      <c r="G4" s="4" t="n">
        <f aca="false">SUMIFS(Jobs!$C$5:$C$59,Jobs!$B$5:$B$59,$A4,Jobs!$D$5:$D$59,"Advertising")</f>
        <v>894.7</v>
      </c>
    </row>
    <row r="5" customFormat="false" ht="15" hidden="false" customHeight="false" outlineLevel="0" collapsed="false">
      <c r="A5" s="3" t="s">
        <v>9</v>
      </c>
      <c r="B5" s="3" t="n">
        <f aca="false">COUNTIFS(Jobs!$B$5:$B$59,A5)</f>
        <v>0</v>
      </c>
      <c r="C5" s="4" t="n">
        <f aca="false">SUMIFS(Jobs!$C$5:$C$59,Jobs!$B$5:$B$59,A5)</f>
        <v>0</v>
      </c>
      <c r="D5" s="4" t="n">
        <f aca="false">SUMIFS(Jobs!$C$5:$C$59,Jobs!$B$5:$B$59,$A5,Jobs!$D$5:$D$59,"Direct")</f>
        <v>0</v>
      </c>
      <c r="E5" s="4" t="n">
        <f aca="false">SUMIFS(Jobs!$C$5:$C$59,Jobs!$B$5:$B$59,$A5,Jobs!$D$5:$D$59,"Other")</f>
        <v>0</v>
      </c>
      <c r="F5" s="4" t="n">
        <f aca="false">SUMIFS(Jobs!$C$5:$C$59,Jobs!$B$5:$B$59,$A5,Jobs!$D$5:$D$59,"Organic")</f>
        <v>0</v>
      </c>
      <c r="G5" s="4" t="n">
        <f aca="false">SUMIFS(Jobs!$C$5:$C$59,Jobs!$B$5:$B$59,$A5,Jobs!$D$5:$D$59,"Advertising")</f>
        <v>0</v>
      </c>
    </row>
    <row r="6" customFormat="false" ht="15" hidden="false" customHeight="false" outlineLevel="0" collapsed="false">
      <c r="A6" s="3" t="s">
        <v>10</v>
      </c>
      <c r="B6" s="3" t="n">
        <f aca="false">COUNTIFS(Jobs!$B$5:$B$59,A6)</f>
        <v>0</v>
      </c>
      <c r="C6" s="4" t="n">
        <f aca="false">SUMIFS(Jobs!$C$5:$C$59,Jobs!$B$5:$B$59,A6)</f>
        <v>0</v>
      </c>
      <c r="D6" s="4" t="n">
        <f aca="false">SUMIFS(Jobs!$C$5:$C$59,Jobs!$B$5:$B$59,$A6,Jobs!$D$5:$D$59,"Direct")</f>
        <v>0</v>
      </c>
      <c r="E6" s="4" t="n">
        <f aca="false">SUMIFS(Jobs!$C$5:$C$59,Jobs!$B$5:$B$59,$A6,Jobs!$D$5:$D$59,"Other")</f>
        <v>0</v>
      </c>
      <c r="F6" s="4" t="n">
        <f aca="false">SUMIFS(Jobs!$C$5:$C$59,Jobs!$B$5:$B$59,$A6,Jobs!$D$5:$D$59,"Organic")</f>
        <v>0</v>
      </c>
      <c r="G6" s="4" t="n">
        <f aca="false">SUMIFS(Jobs!$C$5:$C$59,Jobs!$B$5:$B$59,$A6,Jobs!$D$5:$D$59,"Advertising")</f>
        <v>0</v>
      </c>
    </row>
    <row r="7" customFormat="false" ht="15" hidden="false" customHeight="false" outlineLevel="0" collapsed="false">
      <c r="A7" s="3" t="s">
        <v>11</v>
      </c>
      <c r="B7" s="3" t="n">
        <f aca="false">COUNTIFS(Jobs!$B$5:$B$59,A7)</f>
        <v>6</v>
      </c>
      <c r="C7" s="4" t="n">
        <f aca="false">SUMIFS(Jobs!$C$5:$C$59,Jobs!$B$5:$B$59,A7)</f>
        <v>7221.55</v>
      </c>
      <c r="D7" s="4" t="n">
        <f aca="false">SUMIFS(Jobs!$C$5:$C$59,Jobs!$B$5:$B$59,$A7,Jobs!$D$5:$D$59,"Direct")</f>
        <v>0</v>
      </c>
      <c r="E7" s="4" t="n">
        <f aca="false">SUMIFS(Jobs!$C$5:$C$59,Jobs!$B$5:$B$59,$A7,Jobs!$D$5:$D$59,"Other")</f>
        <v>1187.82</v>
      </c>
      <c r="F7" s="4" t="n">
        <f aca="false">SUMIFS(Jobs!$C$5:$C$59,Jobs!$B$5:$B$59,$A7,Jobs!$D$5:$D$59,"Organic")</f>
        <v>6033.73</v>
      </c>
      <c r="G7" s="4" t="n">
        <f aca="false">SUMIFS(Jobs!$C$5:$C$59,Jobs!$B$5:$B$59,$A7,Jobs!$D$5:$D$59,"Advertising")</f>
        <v>0</v>
      </c>
    </row>
    <row r="8" customFormat="false" ht="15" hidden="false" customHeight="false" outlineLevel="0" collapsed="false">
      <c r="A8" s="3" t="s">
        <v>12</v>
      </c>
      <c r="B8" s="3" t="n">
        <f aca="false">COUNTIFS(Jobs!$B$5:$B$59,A8)</f>
        <v>1</v>
      </c>
      <c r="C8" s="4" t="n">
        <f aca="false">SUMIFS(Jobs!$C$5:$C$59,Jobs!$B$5:$B$59,A8)</f>
        <v>99</v>
      </c>
      <c r="D8" s="4" t="n">
        <f aca="false">SUMIFS(Jobs!$C$5:$C$59,Jobs!$B$5:$B$59,$A8,Jobs!$D$5:$D$59,"Direct")</f>
        <v>0</v>
      </c>
      <c r="E8" s="4" t="n">
        <f aca="false">SUMIFS(Jobs!$C$5:$C$59,Jobs!$B$5:$B$59,$A8,Jobs!$D$5:$D$59,"Other")</f>
        <v>0</v>
      </c>
      <c r="F8" s="4" t="n">
        <f aca="false">SUMIFS(Jobs!$C$5:$C$59,Jobs!$B$5:$B$59,$A8,Jobs!$D$5:$D$59,"Organic")</f>
        <v>0</v>
      </c>
      <c r="G8" s="4" t="n">
        <f aca="false">SUMIFS(Jobs!$C$5:$C$59,Jobs!$B$5:$B$59,$A8,Jobs!$D$5:$D$59,"Advertising")</f>
        <v>99</v>
      </c>
    </row>
    <row r="9" customFormat="false" ht="15" hidden="false" customHeight="false" outlineLevel="0" collapsed="false">
      <c r="A9" s="3" t="s">
        <v>13</v>
      </c>
      <c r="B9" s="3" t="n">
        <f aca="false">COUNTIFS(Jobs!$B$5:$B$59,A9)</f>
        <v>10</v>
      </c>
      <c r="C9" s="4" t="n">
        <f aca="false">SUMIFS(Jobs!$C$5:$C$59,Jobs!$B$5:$B$59,A9)</f>
        <v>27042.32</v>
      </c>
      <c r="D9" s="4" t="n">
        <f aca="false">SUMIFS(Jobs!$C$5:$C$59,Jobs!$B$5:$B$59,$A9,Jobs!$D$5:$D$59,"Direct")</f>
        <v>8433.05</v>
      </c>
      <c r="E9" s="4" t="n">
        <f aca="false">SUMIFS(Jobs!$C$5:$C$59,Jobs!$B$5:$B$59,$A9,Jobs!$D$5:$D$59,"Other")</f>
        <v>433.2</v>
      </c>
      <c r="F9" s="4" t="n">
        <f aca="false">SUMIFS(Jobs!$C$5:$C$59,Jobs!$B$5:$B$59,$A9,Jobs!$D$5:$D$59,"Organic")</f>
        <v>17721.47</v>
      </c>
      <c r="G9" s="4" t="n">
        <f aca="false">SUMIFS(Jobs!$C$5:$C$59,Jobs!$B$5:$B$59,$A9,Jobs!$D$5:$D$59,"Advertising")</f>
        <v>454.6</v>
      </c>
    </row>
    <row r="10" customFormat="false" ht="15" hidden="false" customHeight="false" outlineLevel="0" collapsed="false">
      <c r="A10" s="3" t="s">
        <v>14</v>
      </c>
      <c r="B10" s="3" t="n">
        <f aca="false">COUNTIFS(Jobs!$B$5:$B$59,A10)</f>
        <v>6</v>
      </c>
      <c r="C10" s="4" t="n">
        <f aca="false">SUMIFS(Jobs!$C$5:$C$59,Jobs!$B$5:$B$59,A10)</f>
        <v>57723.99</v>
      </c>
      <c r="D10" s="4" t="n">
        <f aca="false">SUMIFS(Jobs!$C$5:$C$59,Jobs!$B$5:$B$59,$A10,Jobs!$D$5:$D$59,"Direct")</f>
        <v>57519.74</v>
      </c>
      <c r="E10" s="4" t="n">
        <f aca="false">SUMIFS(Jobs!$C$5:$C$59,Jobs!$B$5:$B$59,$A10,Jobs!$D$5:$D$59,"Other")</f>
        <v>204.25</v>
      </c>
      <c r="F10" s="4" t="n">
        <f aca="false">SUMIFS(Jobs!$C$5:$C$59,Jobs!$B$5:$B$59,$A10,Jobs!$D$5:$D$59,"Organic")</f>
        <v>0</v>
      </c>
      <c r="G10" s="4" t="n">
        <f aca="false">SUMIFS(Jobs!$C$5:$C$59,Jobs!$B$5:$B$59,$A10,Jobs!$D$5:$D$59,"Advertising")</f>
        <v>0</v>
      </c>
    </row>
    <row r="11" customFormat="false" ht="15" hidden="false" customHeight="false" outlineLevel="0" collapsed="false">
      <c r="A11" s="3" t="s">
        <v>15</v>
      </c>
      <c r="B11" s="3" t="n">
        <f aca="false">COUNTIFS(Jobs!$B$5:$B$59,A11)</f>
        <v>14</v>
      </c>
      <c r="C11" s="4" t="n">
        <f aca="false">SUMIFS(Jobs!$C$5:$C$59,Jobs!$B$5:$B$59,A11)</f>
        <v>73246.9</v>
      </c>
      <c r="D11" s="4" t="n">
        <f aca="false">SUMIFS(Jobs!$C$5:$C$59,Jobs!$B$5:$B$59,$A11,Jobs!$D$5:$D$59,"Direct")</f>
        <v>40000</v>
      </c>
      <c r="E11" s="4" t="n">
        <f aca="false">SUMIFS(Jobs!$C$5:$C$59,Jobs!$B$5:$B$59,$A11,Jobs!$D$5:$D$59,"Other")</f>
        <v>17164.86</v>
      </c>
      <c r="F11" s="4" t="n">
        <f aca="false">SUMIFS(Jobs!$C$5:$C$59,Jobs!$B$5:$B$59,$A11,Jobs!$D$5:$D$59,"Organic")</f>
        <v>12340.93</v>
      </c>
      <c r="G11" s="4" t="n">
        <f aca="false">SUMIFS(Jobs!$C$5:$C$59,Jobs!$B$5:$B$59,$A11,Jobs!$D$5:$D$59,"Advertising")</f>
        <v>3741.11</v>
      </c>
    </row>
    <row r="12" customFormat="false" ht="15" hidden="false" customHeight="false" outlineLevel="0" collapsed="false">
      <c r="A12" s="3" t="s">
        <v>16</v>
      </c>
      <c r="B12" s="3" t="n">
        <f aca="false">COUNTIFS(Jobs!$B$5:$B$59,A12)</f>
        <v>9</v>
      </c>
      <c r="C12" s="4" t="n">
        <f aca="false">SUMIFS(Jobs!$C$5:$C$59,Jobs!$B$5:$B$59,A12)</f>
        <v>40741.68</v>
      </c>
      <c r="D12" s="4" t="n">
        <f aca="false">SUMIFS(Jobs!$C$5:$C$59,Jobs!$B$5:$B$59,$A12,Jobs!$D$5:$D$59,"Direct")</f>
        <v>0</v>
      </c>
      <c r="E12" s="4" t="n">
        <f aca="false">SUMIFS(Jobs!$C$5:$C$59,Jobs!$B$5:$B$59,$A12,Jobs!$D$5:$D$59,"Other")</f>
        <v>36798.7</v>
      </c>
      <c r="F12" s="4" t="n">
        <f aca="false">SUMIFS(Jobs!$C$5:$C$59,Jobs!$B$5:$B$59,$A12,Jobs!$D$5:$D$59,"Organic")</f>
        <v>908.91</v>
      </c>
      <c r="G12" s="4" t="n">
        <f aca="false">SUMIFS(Jobs!$C$5:$C$59,Jobs!$B$5:$B$59,$A12,Jobs!$D$5:$D$59,"Advertising")</f>
        <v>3034.07</v>
      </c>
    </row>
    <row r="13" customFormat="false" ht="15" hidden="false" customHeight="false" outlineLevel="0" collapsed="false">
      <c r="A13" s="3" t="s">
        <v>17</v>
      </c>
      <c r="B13" s="3" t="n">
        <f aca="false">COUNTIFS(Jobs!$B$5:$B$59,A13)</f>
        <v>7</v>
      </c>
      <c r="C13" s="4" t="n">
        <f aca="false">SUMIFS(Jobs!$C$5:$C$59,Jobs!$B$5:$B$59,A13)</f>
        <v>18362.56</v>
      </c>
      <c r="D13" s="4" t="n">
        <f aca="false">SUMIFS(Jobs!$C$5:$C$59,Jobs!$B$5:$B$59,$A13,Jobs!$D$5:$D$59,"Direct")</f>
        <v>0</v>
      </c>
      <c r="E13" s="4" t="n">
        <f aca="false">SUMIFS(Jobs!$C$5:$C$59,Jobs!$B$5:$B$59,$A13,Jobs!$D$5:$D$59,"Other")</f>
        <v>0</v>
      </c>
      <c r="F13" s="4" t="n">
        <f aca="false">SUMIFS(Jobs!$C$5:$C$59,Jobs!$B$5:$B$59,$A13,Jobs!$D$5:$D$59,"Organic")</f>
        <v>13960</v>
      </c>
      <c r="G13" s="4" t="n">
        <f aca="false">SUMIFS(Jobs!$C$5:$C$59,Jobs!$B$5:$B$59,$A13,Jobs!$D$5:$D$59,"Advertising")</f>
        <v>4402.56</v>
      </c>
    </row>
    <row r="14" customFormat="false" ht="15" hidden="false" customHeight="false" outlineLevel="0" collapsed="false">
      <c r="A14" s="5" t="s">
        <v>18</v>
      </c>
      <c r="B14" s="5" t="n">
        <f aca="false">SUM(B4:B13)</f>
        <v>55</v>
      </c>
      <c r="C14" s="6" t="n">
        <f aca="false">SUM(C4:C13)</f>
        <v>225332.7</v>
      </c>
      <c r="D14" s="6" t="n">
        <f aca="false">SUM(D4:D13)</f>
        <v>105952.79</v>
      </c>
      <c r="E14" s="6" t="n">
        <f aca="false">SUM(E4:E13)</f>
        <v>55788.83</v>
      </c>
      <c r="F14" s="6" t="n">
        <f aca="false">SUM(F4:F13)</f>
        <v>50965.04</v>
      </c>
      <c r="G14" s="6" t="n">
        <f aca="false">SUM(G4:G13)</f>
        <v>12626.04</v>
      </c>
    </row>
    <row r="16" customFormat="false" ht="15" hidden="false" customHeight="false" outlineLevel="0" collapsed="false">
      <c r="A16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20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</v>
      </c>
      <c r="D3" s="2" t="s">
        <v>23</v>
      </c>
    </row>
    <row r="4" customFormat="false" ht="15" hidden="false" customHeight="false" outlineLevel="0" collapsed="false">
      <c r="A4" s="3" t="s">
        <v>24</v>
      </c>
      <c r="B4" s="3" t="s">
        <v>25</v>
      </c>
      <c r="C4" s="3" t="n">
        <f aca="false">COUNTIFS(Jobs!$D$5:$D$59,A4,Jobs!$E$5:$E$59,B4)</f>
        <v>10</v>
      </c>
      <c r="D4" s="4" t="n">
        <f aca="false">SUMIFS(Jobs!$C$5:$C$59,Jobs!$D$5:$D$59,A4,Jobs!$E$5:$E$59,B4)</f>
        <v>105952.79</v>
      </c>
    </row>
    <row r="5" customFormat="false" ht="15" hidden="false" customHeight="false" outlineLevel="0" collapsed="false">
      <c r="A5" s="3" t="s">
        <v>26</v>
      </c>
      <c r="B5" s="3" t="s">
        <v>27</v>
      </c>
      <c r="C5" s="3" t="n">
        <f aca="false">COUNTIFS(Jobs!$D$5:$D$59,A5,Jobs!$E$5:$E$59,B5)</f>
        <v>6</v>
      </c>
      <c r="D5" s="4" t="n">
        <f aca="false">SUMIFS(Jobs!$C$5:$C$59,Jobs!$D$5:$D$59,A5,Jobs!$E$5:$E$59,B5)</f>
        <v>43264.47</v>
      </c>
    </row>
    <row r="6" customFormat="false" ht="15" hidden="false" customHeight="false" outlineLevel="0" collapsed="false">
      <c r="A6" s="3" t="s">
        <v>28</v>
      </c>
      <c r="B6" s="3" t="s">
        <v>29</v>
      </c>
      <c r="C6" s="3" t="n">
        <f aca="false">COUNTIFS(Jobs!$D$5:$D$59,A6,Jobs!$E$5:$E$59,B6)</f>
        <v>5</v>
      </c>
      <c r="D6" s="4" t="n">
        <f aca="false">SUMIFS(Jobs!$C$5:$C$59,Jobs!$D$5:$D$59,A6,Jobs!$E$5:$E$59,B6)</f>
        <v>37324.93</v>
      </c>
    </row>
    <row r="7" customFormat="false" ht="15" hidden="false" customHeight="false" outlineLevel="0" collapsed="false">
      <c r="A7" s="3" t="s">
        <v>28</v>
      </c>
      <c r="B7" s="3" t="s">
        <v>30</v>
      </c>
      <c r="C7" s="3" t="n">
        <f aca="false">COUNTIFS(Jobs!$D$5:$D$59,A7,Jobs!$E$5:$E$59,B7)</f>
        <v>6</v>
      </c>
      <c r="D7" s="4" t="n">
        <f aca="false">SUMIFS(Jobs!$C$5:$C$59,Jobs!$D$5:$D$59,A7,Jobs!$E$5:$E$59,B7)</f>
        <v>18030.7</v>
      </c>
    </row>
    <row r="8" customFormat="false" ht="15" hidden="false" customHeight="false" outlineLevel="0" collapsed="false">
      <c r="A8" s="3" t="s">
        <v>31</v>
      </c>
      <c r="B8" s="3" t="s">
        <v>32</v>
      </c>
      <c r="C8" s="3" t="n">
        <f aca="false">COUNTIFS(Jobs!$D$5:$D$59,A8,Jobs!$E$5:$E$59,B8)</f>
        <v>9</v>
      </c>
      <c r="D8" s="4" t="n">
        <f aca="false">SUMIFS(Jobs!$C$5:$C$59,Jobs!$D$5:$D$59,A8,Jobs!$E$5:$E$59,B8)</f>
        <v>8983.93</v>
      </c>
    </row>
    <row r="9" customFormat="false" ht="15" hidden="false" customHeight="false" outlineLevel="0" collapsed="false">
      <c r="A9" s="3" t="s">
        <v>26</v>
      </c>
      <c r="B9" s="3" t="s">
        <v>33</v>
      </c>
      <c r="C9" s="3" t="n">
        <f aca="false">COUNTIFS(Jobs!$D$5:$D$59,A9,Jobs!$E$5:$E$59,B9)</f>
        <v>5</v>
      </c>
      <c r="D9" s="4" t="n">
        <f aca="false">SUMIFS(Jobs!$C$5:$C$59,Jobs!$D$5:$D$59,A9,Jobs!$E$5:$E$59,B9)</f>
        <v>6033.73</v>
      </c>
    </row>
    <row r="10" customFormat="false" ht="15" hidden="false" customHeight="false" outlineLevel="0" collapsed="false">
      <c r="A10" s="3" t="s">
        <v>26</v>
      </c>
      <c r="B10" s="3" t="s">
        <v>34</v>
      </c>
      <c r="C10" s="3" t="n">
        <f aca="false">COUNTIFS(Jobs!$D$5:$D$59,A10,Jobs!$E$5:$E$59,B10)</f>
        <v>3</v>
      </c>
      <c r="D10" s="4" t="n">
        <f aca="false">SUMIFS(Jobs!$C$5:$C$59,Jobs!$D$5:$D$59,A10,Jobs!$E$5:$E$59,B10)</f>
        <v>1666.84</v>
      </c>
    </row>
    <row r="11" customFormat="false" ht="15" hidden="false" customHeight="false" outlineLevel="0" collapsed="false">
      <c r="A11" s="3" t="s">
        <v>31</v>
      </c>
      <c r="B11" s="3" t="s">
        <v>35</v>
      </c>
      <c r="C11" s="3" t="n">
        <f aca="false">COUNTIFS(Jobs!$D$5:$D$59,A11,Jobs!$E$5:$E$59,B11)</f>
        <v>3</v>
      </c>
      <c r="D11" s="4" t="n">
        <f aca="false">SUMIFS(Jobs!$C$5:$C$59,Jobs!$D$5:$D$59,A11,Jobs!$E$5:$E$59,B11)</f>
        <v>1069.08</v>
      </c>
    </row>
    <row r="12" customFormat="false" ht="15" hidden="false" customHeight="false" outlineLevel="0" collapsed="false">
      <c r="A12" s="3" t="s">
        <v>31</v>
      </c>
      <c r="B12" s="3" t="s">
        <v>36</v>
      </c>
      <c r="C12" s="3" t="n">
        <f aca="false">COUNTIFS(Jobs!$D$5:$D$59,A12,Jobs!$E$5:$E$59,B12)</f>
        <v>2</v>
      </c>
      <c r="D12" s="4" t="n">
        <f aca="false">SUMIFS(Jobs!$C$5:$C$59,Jobs!$D$5:$D$59,A12,Jobs!$E$5:$E$59,B12)</f>
        <v>894.7</v>
      </c>
    </row>
    <row r="13" customFormat="false" ht="15" hidden="false" customHeight="false" outlineLevel="0" collapsed="false">
      <c r="A13" s="3" t="s">
        <v>31</v>
      </c>
      <c r="B13" s="3" t="s">
        <v>37</v>
      </c>
      <c r="C13" s="3" t="n">
        <f aca="false">COUNTIFS(Jobs!$D$5:$D$59,A13,Jobs!$E$5:$E$59,B13)</f>
        <v>1</v>
      </c>
      <c r="D13" s="4" t="n">
        <f aca="false">SUMIFS(Jobs!$C$5:$C$59,Jobs!$D$5:$D$59,A13,Jobs!$E$5:$E$59,B13)</f>
        <v>454.6</v>
      </c>
    </row>
    <row r="14" customFormat="false" ht="15" hidden="false" customHeight="false" outlineLevel="0" collapsed="false">
      <c r="A14" s="3" t="s">
        <v>31</v>
      </c>
      <c r="B14" s="3" t="s">
        <v>38</v>
      </c>
      <c r="C14" s="3" t="n">
        <f aca="false">COUNTIFS(Jobs!$D$5:$D$59,A14,Jobs!$E$5:$E$59,B14)</f>
        <v>1</v>
      </c>
      <c r="D14" s="4" t="n">
        <f aca="false">SUMIFS(Jobs!$C$5:$C$59,Jobs!$D$5:$D$59,A14,Jobs!$E$5:$E$59,B14)</f>
        <v>439</v>
      </c>
    </row>
    <row r="15" customFormat="false" ht="15" hidden="false" customHeight="false" outlineLevel="0" collapsed="false">
      <c r="A15" s="3" t="s">
        <v>28</v>
      </c>
      <c r="B15" s="3" t="s">
        <v>39</v>
      </c>
      <c r="C15" s="3" t="n">
        <f aca="false">COUNTIFS(Jobs!$D$5:$D$59,A15,Jobs!$E$5:$E$59,B15)</f>
        <v>1</v>
      </c>
      <c r="D15" s="4" t="n">
        <f aca="false">SUMIFS(Jobs!$C$5:$C$59,Jobs!$D$5:$D$59,A15,Jobs!$E$5:$E$59,B15)</f>
        <v>433.2</v>
      </c>
    </row>
    <row r="16" customFormat="false" ht="15" hidden="false" customHeight="false" outlineLevel="0" collapsed="false">
      <c r="A16" s="3" t="s">
        <v>31</v>
      </c>
      <c r="B16" s="3" t="s">
        <v>40</v>
      </c>
      <c r="C16" s="3" t="n">
        <f aca="false">COUNTIFS(Jobs!$D$5:$D$59,A16,Jobs!$E$5:$E$59,B16)</f>
        <v>1</v>
      </c>
      <c r="D16" s="4" t="n">
        <f aca="false">SUMIFS(Jobs!$C$5:$C$59,Jobs!$D$5:$D$59,A16,Jobs!$E$5:$E$59,B16)</f>
        <v>360.82</v>
      </c>
    </row>
    <row r="17" customFormat="false" ht="15" hidden="false" customHeight="false" outlineLevel="0" collapsed="false">
      <c r="A17" s="3" t="s">
        <v>31</v>
      </c>
      <c r="B17" s="3" t="s">
        <v>41</v>
      </c>
      <c r="C17" s="3" t="n">
        <f aca="false">COUNTIFS(Jobs!$D$5:$D$59,A17,Jobs!$E$5:$E$59,B17)</f>
        <v>1</v>
      </c>
      <c r="D17" s="4" t="n">
        <f aca="false">SUMIFS(Jobs!$C$5:$C$59,Jobs!$D$5:$D$59,A17,Jobs!$E$5:$E$59,B17)</f>
        <v>324.91</v>
      </c>
    </row>
    <row r="18" customFormat="false" ht="15" hidden="false" customHeight="false" outlineLevel="0" collapsed="false">
      <c r="A18" s="3" t="s">
        <v>31</v>
      </c>
      <c r="B18" s="3" t="s">
        <v>42</v>
      </c>
      <c r="C18" s="3" t="n">
        <f aca="false">COUNTIFS(Jobs!$D$5:$D$59,A18,Jobs!$E$5:$E$59,B18)</f>
        <v>1</v>
      </c>
      <c r="D18" s="4" t="n">
        <f aca="false">SUMIFS(Jobs!$C$5:$C$59,Jobs!$D$5:$D$59,A18,Jobs!$E$5:$E$59,B18)</f>
        <v>99</v>
      </c>
    </row>
    <row r="19" customFormat="false" ht="15" hidden="false" customHeight="false" outlineLevel="0" collapsed="false">
      <c r="B19" s="5" t="s">
        <v>18</v>
      </c>
      <c r="C19" s="5" t="n">
        <f aca="false">SUM(C4:C18)</f>
        <v>55</v>
      </c>
      <c r="D19" s="6" t="n">
        <f aca="false">SUM(D4:D18)</f>
        <v>225332.7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4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43</v>
      </c>
    </row>
    <row r="2" customFormat="false" ht="15" hidden="false" customHeight="false" outlineLevel="0" collapsed="false">
      <c r="A2" s="7" t="s">
        <v>44</v>
      </c>
    </row>
    <row r="4" customFormat="false" ht="23.85" hidden="false" customHeight="false" outlineLevel="0" collapsed="false">
      <c r="A4" s="2" t="s">
        <v>45</v>
      </c>
      <c r="B4" s="2" t="s">
        <v>1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</row>
    <row r="5" customFormat="false" ht="15" hidden="false" customHeight="false" outlineLevel="0" collapsed="false">
      <c r="A5" s="3" t="s">
        <v>51</v>
      </c>
      <c r="B5" s="3" t="s">
        <v>8</v>
      </c>
      <c r="C5" s="8" t="n">
        <v>744.7</v>
      </c>
      <c r="D5" s="3" t="s">
        <v>31</v>
      </c>
      <c r="E5" s="3" t="s">
        <v>36</v>
      </c>
      <c r="F5" s="3" t="s">
        <v>51</v>
      </c>
      <c r="G5" s="9" t="n">
        <v>0</v>
      </c>
    </row>
    <row r="6" customFormat="false" ht="15" hidden="false" customHeight="false" outlineLevel="0" collapsed="false">
      <c r="A6" s="3" t="s">
        <v>52</v>
      </c>
      <c r="B6" s="3" t="s">
        <v>8</v>
      </c>
      <c r="C6" s="8" t="n">
        <v>150</v>
      </c>
      <c r="D6" s="3" t="s">
        <v>31</v>
      </c>
      <c r="E6" s="3" t="s">
        <v>36</v>
      </c>
      <c r="F6" s="3" t="s">
        <v>52</v>
      </c>
      <c r="G6" s="9" t="n">
        <v>0</v>
      </c>
    </row>
    <row r="7" customFormat="false" ht="15" hidden="false" customHeight="false" outlineLevel="0" collapsed="false">
      <c r="A7" s="3" t="s">
        <v>53</v>
      </c>
      <c r="B7" s="3" t="s">
        <v>11</v>
      </c>
      <c r="C7" s="8" t="n">
        <v>1152.2</v>
      </c>
      <c r="D7" s="3" t="s">
        <v>26</v>
      </c>
      <c r="E7" s="3" t="s">
        <v>33</v>
      </c>
      <c r="F7" s="3" t="s">
        <v>54</v>
      </c>
      <c r="G7" s="9" t="n">
        <v>59</v>
      </c>
    </row>
    <row r="8" customFormat="false" ht="15" hidden="false" customHeight="false" outlineLevel="0" collapsed="false">
      <c r="A8" s="3" t="s">
        <v>55</v>
      </c>
      <c r="B8" s="3" t="s">
        <v>11</v>
      </c>
      <c r="C8" s="8" t="n">
        <v>610.4</v>
      </c>
      <c r="D8" s="3" t="s">
        <v>26</v>
      </c>
      <c r="E8" s="3" t="s">
        <v>33</v>
      </c>
      <c r="F8" s="3" t="s">
        <v>54</v>
      </c>
      <c r="G8" s="9" t="n">
        <v>60</v>
      </c>
    </row>
    <row r="9" customFormat="false" ht="15" hidden="false" customHeight="false" outlineLevel="0" collapsed="false">
      <c r="A9" s="3" t="s">
        <v>56</v>
      </c>
      <c r="B9" s="3" t="s">
        <v>11</v>
      </c>
      <c r="C9" s="8" t="n">
        <v>1187.82</v>
      </c>
      <c r="D9" s="3" t="s">
        <v>28</v>
      </c>
      <c r="E9" s="3" t="s">
        <v>29</v>
      </c>
      <c r="F9" s="3" t="s">
        <v>57</v>
      </c>
      <c r="G9" s="9" t="n">
        <v>46</v>
      </c>
    </row>
    <row r="10" customFormat="false" ht="15" hidden="false" customHeight="false" outlineLevel="0" collapsed="false">
      <c r="A10" s="3" t="s">
        <v>58</v>
      </c>
      <c r="B10" s="3" t="s">
        <v>11</v>
      </c>
      <c r="C10" s="8" t="n">
        <v>424.2</v>
      </c>
      <c r="D10" s="3" t="s">
        <v>26</v>
      </c>
      <c r="E10" s="3" t="s">
        <v>33</v>
      </c>
      <c r="F10" s="3" t="s">
        <v>54</v>
      </c>
      <c r="G10" s="9" t="n">
        <v>78</v>
      </c>
    </row>
    <row r="11" customFormat="false" ht="15" hidden="false" customHeight="false" outlineLevel="0" collapsed="false">
      <c r="A11" s="3" t="s">
        <v>59</v>
      </c>
      <c r="B11" s="3" t="s">
        <v>11</v>
      </c>
      <c r="C11" s="8" t="n">
        <v>2237.5</v>
      </c>
      <c r="D11" s="3" t="s">
        <v>26</v>
      </c>
      <c r="E11" s="3" t="s">
        <v>33</v>
      </c>
      <c r="F11" s="3" t="s">
        <v>54</v>
      </c>
      <c r="G11" s="9" t="n">
        <v>80</v>
      </c>
    </row>
    <row r="12" customFormat="false" ht="15" hidden="false" customHeight="false" outlineLevel="0" collapsed="false">
      <c r="A12" s="3" t="s">
        <v>60</v>
      </c>
      <c r="B12" s="3" t="s">
        <v>11</v>
      </c>
      <c r="C12" s="8" t="n">
        <v>1609.43</v>
      </c>
      <c r="D12" s="3" t="s">
        <v>26</v>
      </c>
      <c r="E12" s="3" t="s">
        <v>33</v>
      </c>
      <c r="F12" s="3" t="s">
        <v>52</v>
      </c>
      <c r="G12" s="9" t="n">
        <v>96</v>
      </c>
    </row>
    <row r="13" customFormat="false" ht="15" hidden="false" customHeight="false" outlineLevel="0" collapsed="false">
      <c r="A13" s="3" t="s">
        <v>61</v>
      </c>
      <c r="B13" s="3" t="s">
        <v>12</v>
      </c>
      <c r="C13" s="8" t="n">
        <v>99</v>
      </c>
      <c r="D13" s="3" t="s">
        <v>31</v>
      </c>
      <c r="E13" s="3" t="s">
        <v>42</v>
      </c>
      <c r="F13" s="3" t="s">
        <v>62</v>
      </c>
      <c r="G13" s="9" t="n">
        <v>116</v>
      </c>
    </row>
    <row r="14" customFormat="false" ht="15" hidden="false" customHeight="false" outlineLevel="0" collapsed="false">
      <c r="A14" s="3" t="s">
        <v>63</v>
      </c>
      <c r="B14" s="3" t="s">
        <v>13</v>
      </c>
      <c r="C14" s="8" t="n">
        <v>417.47</v>
      </c>
      <c r="D14" s="3" t="s">
        <v>26</v>
      </c>
      <c r="E14" s="3" t="s">
        <v>27</v>
      </c>
      <c r="F14" s="3" t="s">
        <v>64</v>
      </c>
      <c r="G14" s="9" t="n">
        <v>148</v>
      </c>
    </row>
    <row r="15" customFormat="false" ht="15" hidden="false" customHeight="false" outlineLevel="0" collapsed="false">
      <c r="A15" s="3" t="s">
        <v>65</v>
      </c>
      <c r="B15" s="3" t="s">
        <v>13</v>
      </c>
      <c r="C15" s="8" t="n">
        <v>1031.5</v>
      </c>
      <c r="D15" s="3" t="s">
        <v>24</v>
      </c>
      <c r="E15" s="3" t="s">
        <v>25</v>
      </c>
      <c r="F15" s="3" t="s">
        <v>66</v>
      </c>
      <c r="G15" s="9" t="n">
        <v>90</v>
      </c>
    </row>
    <row r="16" customFormat="false" ht="15" hidden="false" customHeight="false" outlineLevel="0" collapsed="false">
      <c r="A16" s="3" t="s">
        <v>67</v>
      </c>
      <c r="B16" s="3" t="s">
        <v>13</v>
      </c>
      <c r="C16" s="8" t="n">
        <v>433.2</v>
      </c>
      <c r="D16" s="3" t="s">
        <v>28</v>
      </c>
      <c r="E16" s="3" t="s">
        <v>39</v>
      </c>
      <c r="F16" s="3" t="s">
        <v>68</v>
      </c>
      <c r="G16" s="9" t="n">
        <v>137</v>
      </c>
    </row>
    <row r="17" customFormat="false" ht="15" hidden="false" customHeight="false" outlineLevel="0" collapsed="false">
      <c r="A17" s="3" t="s">
        <v>69</v>
      </c>
      <c r="B17" s="3" t="s">
        <v>13</v>
      </c>
      <c r="C17" s="8" t="n">
        <v>4282.75</v>
      </c>
      <c r="D17" s="3" t="s">
        <v>26</v>
      </c>
      <c r="E17" s="3" t="s">
        <v>27</v>
      </c>
      <c r="F17" s="3" t="s">
        <v>70</v>
      </c>
      <c r="G17" s="9" t="n">
        <v>137</v>
      </c>
    </row>
    <row r="18" customFormat="false" ht="15" hidden="false" customHeight="false" outlineLevel="0" collapsed="false">
      <c r="A18" s="3" t="s">
        <v>69</v>
      </c>
      <c r="B18" s="3" t="s">
        <v>13</v>
      </c>
      <c r="C18" s="8" t="n">
        <v>454.6</v>
      </c>
      <c r="D18" s="3" t="s">
        <v>31</v>
      </c>
      <c r="E18" s="3" t="s">
        <v>37</v>
      </c>
      <c r="F18" s="3" t="s">
        <v>71</v>
      </c>
      <c r="G18" s="9" t="n">
        <v>102</v>
      </c>
    </row>
    <row r="19" customFormat="false" ht="15" hidden="false" customHeight="false" outlineLevel="0" collapsed="false">
      <c r="A19" s="3" t="s">
        <v>69</v>
      </c>
      <c r="B19" s="3" t="s">
        <v>13</v>
      </c>
      <c r="C19" s="8" t="n">
        <v>472.55</v>
      </c>
      <c r="D19" s="3" t="s">
        <v>24</v>
      </c>
      <c r="E19" s="3" t="s">
        <v>25</v>
      </c>
      <c r="F19" s="3" t="s">
        <v>66</v>
      </c>
      <c r="G19" s="9" t="n">
        <v>95</v>
      </c>
    </row>
    <row r="20" customFormat="false" ht="15" hidden="false" customHeight="false" outlineLevel="0" collapsed="false">
      <c r="A20" s="3" t="s">
        <v>72</v>
      </c>
      <c r="B20" s="3" t="s">
        <v>13</v>
      </c>
      <c r="C20" s="8" t="n">
        <v>12691.25</v>
      </c>
      <c r="D20" s="3" t="s">
        <v>26</v>
      </c>
      <c r="E20" s="3" t="s">
        <v>27</v>
      </c>
      <c r="F20" s="3" t="s">
        <v>70</v>
      </c>
      <c r="G20" s="9" t="n">
        <v>139</v>
      </c>
    </row>
    <row r="21" customFormat="false" ht="15" hidden="false" customHeight="false" outlineLevel="0" collapsed="false">
      <c r="A21" s="3" t="s">
        <v>73</v>
      </c>
      <c r="B21" s="3" t="s">
        <v>13</v>
      </c>
      <c r="C21" s="8" t="n">
        <v>99</v>
      </c>
      <c r="D21" s="3" t="s">
        <v>24</v>
      </c>
      <c r="E21" s="3" t="s">
        <v>25</v>
      </c>
      <c r="F21" s="3" t="s">
        <v>66</v>
      </c>
      <c r="G21" s="9" t="n">
        <v>98</v>
      </c>
    </row>
    <row r="22" customFormat="false" ht="15" hidden="false" customHeight="false" outlineLevel="0" collapsed="false">
      <c r="A22" s="3" t="s">
        <v>74</v>
      </c>
      <c r="B22" s="3" t="s">
        <v>13</v>
      </c>
      <c r="C22" s="8" t="n">
        <v>330</v>
      </c>
      <c r="D22" s="3" t="s">
        <v>26</v>
      </c>
      <c r="E22" s="3" t="s">
        <v>27</v>
      </c>
      <c r="F22" s="3" t="s">
        <v>75</v>
      </c>
      <c r="G22" s="9" t="n">
        <v>165</v>
      </c>
    </row>
    <row r="23" customFormat="false" ht="15" hidden="false" customHeight="false" outlineLevel="0" collapsed="false">
      <c r="A23" s="3" t="s">
        <v>76</v>
      </c>
      <c r="B23" s="3" t="s">
        <v>13</v>
      </c>
      <c r="C23" s="8" t="n">
        <v>6830</v>
      </c>
      <c r="D23" s="3" t="s">
        <v>24</v>
      </c>
      <c r="E23" s="3" t="s">
        <v>25</v>
      </c>
      <c r="F23" s="3" t="s">
        <v>66</v>
      </c>
      <c r="G23" s="9" t="n">
        <v>109</v>
      </c>
    </row>
    <row r="24" customFormat="false" ht="15" hidden="false" customHeight="false" outlineLevel="0" collapsed="false">
      <c r="A24" s="3" t="s">
        <v>77</v>
      </c>
      <c r="B24" s="3" t="s">
        <v>14</v>
      </c>
      <c r="C24" s="8" t="n">
        <v>179</v>
      </c>
      <c r="D24" s="3" t="s">
        <v>24</v>
      </c>
      <c r="E24" s="3" t="s">
        <v>25</v>
      </c>
      <c r="F24" s="3" t="s">
        <v>66</v>
      </c>
      <c r="G24" s="9" t="n">
        <v>111</v>
      </c>
    </row>
    <row r="25" customFormat="false" ht="15" hidden="false" customHeight="false" outlineLevel="0" collapsed="false">
      <c r="A25" s="3" t="s">
        <v>78</v>
      </c>
      <c r="B25" s="3" t="s">
        <v>14</v>
      </c>
      <c r="C25" s="8" t="n">
        <v>4565</v>
      </c>
      <c r="D25" s="3" t="s">
        <v>24</v>
      </c>
      <c r="E25" s="3" t="s">
        <v>25</v>
      </c>
      <c r="F25" s="3" t="s">
        <v>66</v>
      </c>
      <c r="G25" s="9" t="n">
        <v>112</v>
      </c>
    </row>
    <row r="26" customFormat="false" ht="15" hidden="false" customHeight="false" outlineLevel="0" collapsed="false">
      <c r="A26" s="3" t="s">
        <v>79</v>
      </c>
      <c r="B26" s="3" t="s">
        <v>14</v>
      </c>
      <c r="C26" s="8" t="n">
        <v>1925</v>
      </c>
      <c r="D26" s="3" t="s">
        <v>24</v>
      </c>
      <c r="E26" s="3" t="s">
        <v>25</v>
      </c>
      <c r="F26" s="3" t="s">
        <v>66</v>
      </c>
      <c r="G26" s="9" t="n">
        <v>117</v>
      </c>
    </row>
    <row r="27" customFormat="false" ht="15" hidden="false" customHeight="false" outlineLevel="0" collapsed="false">
      <c r="A27" s="3" t="s">
        <v>80</v>
      </c>
      <c r="B27" s="3" t="s">
        <v>14</v>
      </c>
      <c r="C27" s="8" t="n">
        <v>49966.74</v>
      </c>
      <c r="D27" s="3" t="s">
        <v>24</v>
      </c>
      <c r="E27" s="3" t="s">
        <v>25</v>
      </c>
      <c r="F27" s="3" t="s">
        <v>66</v>
      </c>
      <c r="G27" s="9" t="n">
        <v>125</v>
      </c>
    </row>
    <row r="28" customFormat="false" ht="15" hidden="false" customHeight="false" outlineLevel="0" collapsed="false">
      <c r="A28" s="3" t="s">
        <v>81</v>
      </c>
      <c r="B28" s="3" t="s">
        <v>14</v>
      </c>
      <c r="C28" s="8" t="n">
        <v>204.25</v>
      </c>
      <c r="D28" s="3" t="s">
        <v>28</v>
      </c>
      <c r="E28" s="3" t="s">
        <v>29</v>
      </c>
      <c r="F28" s="3" t="s">
        <v>82</v>
      </c>
      <c r="G28" s="9" t="n">
        <v>118</v>
      </c>
    </row>
    <row r="29" customFormat="false" ht="15" hidden="false" customHeight="false" outlineLevel="0" collapsed="false">
      <c r="A29" s="3" t="s">
        <v>83</v>
      </c>
      <c r="B29" s="3" t="s">
        <v>14</v>
      </c>
      <c r="C29" s="8" t="n">
        <v>884</v>
      </c>
      <c r="D29" s="3" t="s">
        <v>24</v>
      </c>
      <c r="E29" s="3" t="s">
        <v>25</v>
      </c>
      <c r="F29" s="3" t="s">
        <v>66</v>
      </c>
      <c r="G29" s="9" t="n">
        <v>138</v>
      </c>
    </row>
    <row r="30" customFormat="false" ht="15" hidden="false" customHeight="false" outlineLevel="0" collapsed="false">
      <c r="A30" s="3" t="s">
        <v>84</v>
      </c>
      <c r="B30" s="3" t="s">
        <v>15</v>
      </c>
      <c r="C30" s="8" t="n">
        <v>689</v>
      </c>
      <c r="D30" s="3" t="s">
        <v>28</v>
      </c>
      <c r="E30" s="3" t="s">
        <v>30</v>
      </c>
      <c r="F30" s="3" t="s">
        <v>85</v>
      </c>
      <c r="G30" s="9" t="n">
        <v>161</v>
      </c>
    </row>
    <row r="31" customFormat="false" ht="15" hidden="false" customHeight="false" outlineLevel="0" collapsed="false">
      <c r="A31" s="3" t="s">
        <v>86</v>
      </c>
      <c r="B31" s="3" t="s">
        <v>15</v>
      </c>
      <c r="C31" s="8" t="n">
        <v>292.42</v>
      </c>
      <c r="D31" s="3" t="s">
        <v>31</v>
      </c>
      <c r="E31" s="3" t="s">
        <v>32</v>
      </c>
      <c r="F31" s="3" t="s">
        <v>87</v>
      </c>
      <c r="G31" s="9" t="n">
        <v>191</v>
      </c>
    </row>
    <row r="32" customFormat="false" ht="15" hidden="false" customHeight="false" outlineLevel="0" collapsed="false">
      <c r="A32" s="3" t="s">
        <v>88</v>
      </c>
      <c r="B32" s="3" t="s">
        <v>15</v>
      </c>
      <c r="C32" s="8" t="n">
        <v>2005</v>
      </c>
      <c r="D32" s="3" t="s">
        <v>31</v>
      </c>
      <c r="E32" s="3" t="s">
        <v>32</v>
      </c>
      <c r="F32" s="3" t="s">
        <v>89</v>
      </c>
      <c r="G32" s="9" t="n">
        <v>210</v>
      </c>
    </row>
    <row r="33" customFormat="false" ht="15" hidden="false" customHeight="false" outlineLevel="0" collapsed="false">
      <c r="A33" s="3" t="s">
        <v>88</v>
      </c>
      <c r="B33" s="3" t="s">
        <v>15</v>
      </c>
      <c r="C33" s="8" t="n">
        <v>14508</v>
      </c>
      <c r="D33" s="3" t="s">
        <v>28</v>
      </c>
      <c r="E33" s="3" t="s">
        <v>30</v>
      </c>
      <c r="F33" s="3" t="s">
        <v>85</v>
      </c>
      <c r="G33" s="9" t="n">
        <v>164</v>
      </c>
    </row>
    <row r="34" customFormat="false" ht="15" hidden="false" customHeight="false" outlineLevel="0" collapsed="false">
      <c r="A34" s="3" t="s">
        <v>88</v>
      </c>
      <c r="B34" s="3" t="s">
        <v>15</v>
      </c>
      <c r="C34" s="8" t="n">
        <v>854.19</v>
      </c>
      <c r="D34" s="3" t="s">
        <v>28</v>
      </c>
      <c r="E34" s="3" t="s">
        <v>29</v>
      </c>
      <c r="F34" s="3" t="s">
        <v>90</v>
      </c>
      <c r="G34" s="9" t="n">
        <v>111</v>
      </c>
    </row>
    <row r="35" customFormat="false" ht="15" hidden="false" customHeight="false" outlineLevel="0" collapsed="false">
      <c r="A35" s="3" t="s">
        <v>91</v>
      </c>
      <c r="B35" s="3" t="s">
        <v>15</v>
      </c>
      <c r="C35" s="8" t="n">
        <v>99</v>
      </c>
      <c r="D35" s="3" t="s">
        <v>28</v>
      </c>
      <c r="E35" s="3" t="s">
        <v>30</v>
      </c>
      <c r="F35" s="3" t="s">
        <v>85</v>
      </c>
      <c r="G35" s="9" t="n">
        <v>169</v>
      </c>
    </row>
    <row r="36" customFormat="false" ht="15" hidden="false" customHeight="false" outlineLevel="0" collapsed="false">
      <c r="A36" s="3" t="s">
        <v>92</v>
      </c>
      <c r="B36" s="3" t="s">
        <v>15</v>
      </c>
      <c r="C36" s="8" t="n">
        <v>1014.67</v>
      </c>
      <c r="D36" s="3" t="s">
        <v>28</v>
      </c>
      <c r="E36" s="3" t="s">
        <v>29</v>
      </c>
      <c r="F36" s="3" t="s">
        <v>90</v>
      </c>
      <c r="G36" s="9" t="n">
        <v>117</v>
      </c>
    </row>
    <row r="37" customFormat="false" ht="15" hidden="false" customHeight="false" outlineLevel="0" collapsed="false">
      <c r="A37" s="3" t="s">
        <v>93</v>
      </c>
      <c r="B37" s="3" t="s">
        <v>15</v>
      </c>
      <c r="C37" s="8" t="n">
        <v>397.93</v>
      </c>
      <c r="D37" s="3" t="s">
        <v>26</v>
      </c>
      <c r="E37" s="3" t="s">
        <v>34</v>
      </c>
      <c r="F37" s="3" t="s">
        <v>62</v>
      </c>
      <c r="G37" s="9" t="n">
        <v>207</v>
      </c>
    </row>
    <row r="38" customFormat="false" ht="15" hidden="false" customHeight="false" outlineLevel="0" collapsed="false">
      <c r="A38" s="3" t="s">
        <v>94</v>
      </c>
      <c r="B38" s="3" t="s">
        <v>15</v>
      </c>
      <c r="C38" s="8" t="n">
        <v>439</v>
      </c>
      <c r="D38" s="3" t="s">
        <v>31</v>
      </c>
      <c r="E38" s="3" t="s">
        <v>38</v>
      </c>
      <c r="F38" s="3" t="s">
        <v>62</v>
      </c>
      <c r="G38" s="9" t="n">
        <v>208</v>
      </c>
    </row>
    <row r="39" customFormat="false" ht="15" hidden="false" customHeight="false" outlineLevel="0" collapsed="false">
      <c r="A39" s="3" t="s">
        <v>95</v>
      </c>
      <c r="B39" s="3" t="s">
        <v>15</v>
      </c>
      <c r="C39" s="8" t="n">
        <v>11943</v>
      </c>
      <c r="D39" s="3" t="s">
        <v>26</v>
      </c>
      <c r="E39" s="3" t="s">
        <v>27</v>
      </c>
      <c r="F39" s="3" t="s">
        <v>58</v>
      </c>
      <c r="G39" s="9" t="n">
        <v>126</v>
      </c>
    </row>
    <row r="40" customFormat="false" ht="15" hidden="false" customHeight="false" outlineLevel="0" collapsed="false">
      <c r="A40" s="3" t="s">
        <v>96</v>
      </c>
      <c r="B40" s="3" t="s">
        <v>15</v>
      </c>
      <c r="C40" s="8" t="n">
        <v>208.7</v>
      </c>
      <c r="D40" s="3" t="s">
        <v>31</v>
      </c>
      <c r="E40" s="3" t="s">
        <v>32</v>
      </c>
      <c r="F40" s="3" t="s">
        <v>62</v>
      </c>
      <c r="G40" s="9" t="n">
        <v>217</v>
      </c>
    </row>
    <row r="41" customFormat="false" ht="15" hidden="false" customHeight="false" outlineLevel="0" collapsed="false">
      <c r="A41" s="3" t="s">
        <v>97</v>
      </c>
      <c r="B41" s="3" t="s">
        <v>15</v>
      </c>
      <c r="C41" s="8" t="n">
        <v>40000</v>
      </c>
      <c r="D41" s="3" t="s">
        <v>24</v>
      </c>
      <c r="E41" s="3" t="s">
        <v>25</v>
      </c>
      <c r="F41" s="3" t="s">
        <v>66</v>
      </c>
      <c r="G41" s="9" t="n">
        <v>168</v>
      </c>
    </row>
    <row r="42" customFormat="false" ht="15" hidden="false" customHeight="false" outlineLevel="0" collapsed="false">
      <c r="A42" s="3" t="s">
        <v>97</v>
      </c>
      <c r="B42" s="3" t="s">
        <v>15</v>
      </c>
      <c r="C42" s="8" t="n">
        <v>324.91</v>
      </c>
      <c r="D42" s="3" t="s">
        <v>31</v>
      </c>
      <c r="E42" s="3" t="s">
        <v>41</v>
      </c>
      <c r="F42" s="3" t="s">
        <v>51</v>
      </c>
      <c r="G42" s="9" t="n">
        <v>226</v>
      </c>
    </row>
    <row r="43" customFormat="false" ht="15" hidden="false" customHeight="false" outlineLevel="0" collapsed="false">
      <c r="A43" s="3" t="s">
        <v>98</v>
      </c>
      <c r="B43" s="3" t="s">
        <v>15</v>
      </c>
      <c r="C43" s="8" t="n">
        <v>471.08</v>
      </c>
      <c r="D43" s="3" t="s">
        <v>31</v>
      </c>
      <c r="E43" s="3" t="s">
        <v>35</v>
      </c>
      <c r="F43" s="3" t="s">
        <v>99</v>
      </c>
      <c r="G43" s="9" t="n">
        <v>191</v>
      </c>
    </row>
    <row r="44" customFormat="false" ht="15" hidden="false" customHeight="false" outlineLevel="0" collapsed="false">
      <c r="A44" s="3" t="s">
        <v>100</v>
      </c>
      <c r="B44" s="3" t="s">
        <v>16</v>
      </c>
      <c r="C44" s="8" t="n">
        <v>458.2</v>
      </c>
      <c r="D44" s="3" t="s">
        <v>28</v>
      </c>
      <c r="E44" s="3" t="s">
        <v>30</v>
      </c>
      <c r="F44" s="3" t="s">
        <v>85</v>
      </c>
      <c r="G44" s="9" t="n">
        <v>189</v>
      </c>
    </row>
    <row r="45" customFormat="false" ht="15" hidden="false" customHeight="false" outlineLevel="0" collapsed="false">
      <c r="A45" s="3" t="s">
        <v>101</v>
      </c>
      <c r="B45" s="3" t="s">
        <v>16</v>
      </c>
      <c r="C45" s="8" t="n">
        <v>99</v>
      </c>
      <c r="D45" s="3" t="s">
        <v>28</v>
      </c>
      <c r="E45" s="3" t="s">
        <v>30</v>
      </c>
      <c r="F45" s="3" t="s">
        <v>85</v>
      </c>
      <c r="G45" s="9" t="n">
        <v>191</v>
      </c>
    </row>
    <row r="46" customFormat="false" ht="15" hidden="false" customHeight="false" outlineLevel="0" collapsed="false">
      <c r="A46" s="3" t="s">
        <v>101</v>
      </c>
      <c r="B46" s="3" t="s">
        <v>16</v>
      </c>
      <c r="C46" s="8" t="n">
        <v>908.91</v>
      </c>
      <c r="D46" s="3" t="s">
        <v>26</v>
      </c>
      <c r="E46" s="3" t="s">
        <v>34</v>
      </c>
      <c r="F46" s="3" t="s">
        <v>62</v>
      </c>
      <c r="G46" s="9" t="n">
        <v>224</v>
      </c>
    </row>
    <row r="47" customFormat="false" ht="15" hidden="false" customHeight="false" outlineLevel="0" collapsed="false">
      <c r="A47" s="3" t="s">
        <v>102</v>
      </c>
      <c r="B47" s="3" t="s">
        <v>16</v>
      </c>
      <c r="C47" s="8" t="n">
        <v>1770</v>
      </c>
      <c r="D47" s="3" t="s">
        <v>31</v>
      </c>
      <c r="E47" s="3" t="s">
        <v>32</v>
      </c>
      <c r="F47" s="3" t="s">
        <v>62</v>
      </c>
      <c r="G47" s="9" t="n">
        <v>230</v>
      </c>
    </row>
    <row r="48" customFormat="false" ht="15" hidden="false" customHeight="false" outlineLevel="0" collapsed="false">
      <c r="A48" s="3" t="s">
        <v>103</v>
      </c>
      <c r="B48" s="3" t="s">
        <v>16</v>
      </c>
      <c r="C48" s="8" t="n">
        <v>684.25</v>
      </c>
      <c r="D48" s="3" t="s">
        <v>31</v>
      </c>
      <c r="E48" s="3" t="s">
        <v>32</v>
      </c>
      <c r="F48" s="3" t="s">
        <v>62</v>
      </c>
      <c r="G48" s="9" t="n">
        <v>231</v>
      </c>
    </row>
    <row r="49" customFormat="false" ht="15" hidden="false" customHeight="false" outlineLevel="0" collapsed="false">
      <c r="A49" s="3" t="s">
        <v>104</v>
      </c>
      <c r="B49" s="3" t="s">
        <v>16</v>
      </c>
      <c r="C49" s="8" t="n">
        <v>219</v>
      </c>
      <c r="D49" s="3" t="s">
        <v>31</v>
      </c>
      <c r="E49" s="3" t="s">
        <v>32</v>
      </c>
      <c r="F49" s="3" t="s">
        <v>62</v>
      </c>
      <c r="G49" s="9" t="n">
        <v>236</v>
      </c>
    </row>
    <row r="50" customFormat="false" ht="15" hidden="false" customHeight="false" outlineLevel="0" collapsed="false">
      <c r="A50" s="3" t="s">
        <v>104</v>
      </c>
      <c r="B50" s="3" t="s">
        <v>16</v>
      </c>
      <c r="C50" s="8" t="n">
        <v>2177.5</v>
      </c>
      <c r="D50" s="3" t="s">
        <v>28</v>
      </c>
      <c r="E50" s="3" t="s">
        <v>30</v>
      </c>
      <c r="F50" s="3" t="s">
        <v>85</v>
      </c>
      <c r="G50" s="9" t="n">
        <v>203</v>
      </c>
    </row>
    <row r="51" customFormat="false" ht="15" hidden="false" customHeight="false" outlineLevel="0" collapsed="false">
      <c r="A51" s="3" t="s">
        <v>105</v>
      </c>
      <c r="B51" s="3" t="s">
        <v>16</v>
      </c>
      <c r="C51" s="8" t="n">
        <v>360.82</v>
      </c>
      <c r="D51" s="3" t="s">
        <v>31</v>
      </c>
      <c r="E51" s="3" t="s">
        <v>40</v>
      </c>
      <c r="F51" s="3" t="s">
        <v>106</v>
      </c>
      <c r="G51" s="9" t="n">
        <v>213</v>
      </c>
    </row>
    <row r="52" customFormat="false" ht="15" hidden="false" customHeight="false" outlineLevel="0" collapsed="false">
      <c r="A52" s="3" t="s">
        <v>107</v>
      </c>
      <c r="B52" s="3" t="s">
        <v>16</v>
      </c>
      <c r="C52" s="8" t="n">
        <v>34064</v>
      </c>
      <c r="D52" s="3" t="s">
        <v>28</v>
      </c>
      <c r="E52" s="3" t="s">
        <v>29</v>
      </c>
      <c r="F52" s="3" t="s">
        <v>108</v>
      </c>
      <c r="G52" s="9" t="n">
        <v>260</v>
      </c>
    </row>
    <row r="53" customFormat="false" ht="15" hidden="false" customHeight="false" outlineLevel="0" collapsed="false">
      <c r="A53" s="3" t="s">
        <v>109</v>
      </c>
      <c r="B53" s="3" t="s">
        <v>17</v>
      </c>
      <c r="C53" s="8" t="n">
        <v>1871.16</v>
      </c>
      <c r="D53" s="3" t="s">
        <v>31</v>
      </c>
      <c r="E53" s="3" t="s">
        <v>32</v>
      </c>
      <c r="F53" s="3" t="s">
        <v>68</v>
      </c>
      <c r="G53" s="9" t="n">
        <v>247</v>
      </c>
    </row>
    <row r="54" customFormat="false" ht="15" hidden="false" customHeight="false" outlineLevel="0" collapsed="false">
      <c r="A54" s="3" t="s">
        <v>110</v>
      </c>
      <c r="B54" s="3" t="s">
        <v>17</v>
      </c>
      <c r="C54" s="8" t="n">
        <v>424.2</v>
      </c>
      <c r="D54" s="3" t="s">
        <v>31</v>
      </c>
      <c r="E54" s="3" t="s">
        <v>32</v>
      </c>
      <c r="F54" s="3" t="s">
        <v>62</v>
      </c>
      <c r="G54" s="9" t="n">
        <v>256</v>
      </c>
    </row>
    <row r="55" customFormat="false" ht="15" hidden="false" customHeight="false" outlineLevel="0" collapsed="false">
      <c r="A55" s="3" t="s">
        <v>111</v>
      </c>
      <c r="B55" s="3" t="s">
        <v>17</v>
      </c>
      <c r="C55" s="8" t="n">
        <v>360</v>
      </c>
      <c r="D55" s="3" t="s">
        <v>26</v>
      </c>
      <c r="E55" s="3" t="s">
        <v>34</v>
      </c>
      <c r="F55" s="3" t="s">
        <v>62</v>
      </c>
      <c r="G55" s="9" t="n">
        <v>263</v>
      </c>
    </row>
    <row r="56" customFormat="false" ht="15" hidden="false" customHeight="false" outlineLevel="0" collapsed="false">
      <c r="A56" s="3" t="s">
        <v>112</v>
      </c>
      <c r="B56" s="3" t="s">
        <v>17</v>
      </c>
      <c r="C56" s="8" t="n">
        <v>13600</v>
      </c>
      <c r="D56" s="3" t="s">
        <v>26</v>
      </c>
      <c r="E56" s="3" t="s">
        <v>27</v>
      </c>
      <c r="F56" s="3" t="s">
        <v>113</v>
      </c>
      <c r="G56" s="9" t="n">
        <v>95</v>
      </c>
    </row>
    <row r="57" customFormat="false" ht="15" hidden="false" customHeight="false" outlineLevel="0" collapsed="false">
      <c r="A57" s="3" t="s">
        <v>114</v>
      </c>
      <c r="B57" s="3" t="s">
        <v>17</v>
      </c>
      <c r="C57" s="8" t="n">
        <v>1509.2</v>
      </c>
      <c r="D57" s="3" t="s">
        <v>31</v>
      </c>
      <c r="E57" s="3" t="s">
        <v>32</v>
      </c>
      <c r="F57" s="3" t="s">
        <v>62</v>
      </c>
      <c r="G57" s="9" t="n">
        <v>270</v>
      </c>
    </row>
    <row r="58" customFormat="false" ht="15" hidden="false" customHeight="false" outlineLevel="0" collapsed="false">
      <c r="A58" s="3" t="s">
        <v>115</v>
      </c>
      <c r="B58" s="3" t="s">
        <v>17</v>
      </c>
      <c r="C58" s="8" t="n">
        <v>519</v>
      </c>
      <c r="D58" s="3" t="s">
        <v>31</v>
      </c>
      <c r="E58" s="3" t="s">
        <v>35</v>
      </c>
      <c r="F58" s="3" t="s">
        <v>116</v>
      </c>
      <c r="G58" s="9" t="n">
        <v>126</v>
      </c>
    </row>
    <row r="59" customFormat="false" ht="15" hidden="false" customHeight="false" outlineLevel="0" collapsed="false">
      <c r="A59" s="3" t="s">
        <v>117</v>
      </c>
      <c r="B59" s="3" t="s">
        <v>17</v>
      </c>
      <c r="C59" s="8" t="n">
        <v>79</v>
      </c>
      <c r="D59" s="3" t="s">
        <v>31</v>
      </c>
      <c r="E59" s="3" t="s">
        <v>35</v>
      </c>
      <c r="F59" s="3" t="s">
        <v>118</v>
      </c>
      <c r="G59" s="9" t="n">
        <v>168</v>
      </c>
    </row>
  </sheetData>
  <autoFilter ref="A4:G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2026-10-25T16:58:18Z</dcterms:created>
  <dc:creator>openpyxl</dc:creator>
  <dc:description/>
  <dc:language>en-US</dc:language>
  <cp:lastModifiedBy/>
  <dcterms:modified xsi:type="dcterms:W3CDTF">2026-10-25T16:58:18Z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