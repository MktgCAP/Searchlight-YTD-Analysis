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onthly Summary" sheetId="1" r:id="rId1"/>
    <sheet name="Monthly Detail" sheetId="2" r:id="rId2"/>
    <sheet name="August Differences" sheetId="3" r:id="rId3"/>
    <sheet name="Not Counted as Spending" sheetId="4" r:id="rId4"/>
    <sheet name="June 2026" sheetId="5" r:id="rId5"/>
    <sheet name="July 2026" sheetId="6" r:id="rId6"/>
    <sheet name="August 2026" sheetId="7" r:id="rId7"/>
    <sheet name="September 2026" sheetId="8" r:id="rId8"/>
    <sheet name="All Transactions" sheetId="9" r:id="rId9"/>
  </sheets>
  <definedNames>
    <definedName name="_xlnm._FilterDatabase" localSheetId="4" hidden="1">'June 2026'!$A$3:$E$119</definedName>
    <definedName name="_xlnm._FilterDatabase" localSheetId="5" hidden="1">'July 2026'!$A$3:$E$127</definedName>
    <definedName name="_xlnm._FilterDatabase" localSheetId="6" hidden="1">'August 2026'!$A$3:$E$110</definedName>
    <definedName name="_xlnm._FilterDatabase" localSheetId="7" hidden="1">'September 2026'!$A$3:$E$88</definedName>
    <definedName name="_xlnm._FilterDatabase" localSheetId="8" hidden="1">'All Transactions'!$A$4:$F$436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;(&quot;$&quot;#,##0.00);&quot;-&quot;"/>
    <numFmt numFmtId="165" formatCode="m/d/yyyy"/>
  </numFmts>
  <fonts count="7"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sz val="14"/>
      <color rgb="FF1F3864"/>
      <name val="Arial"/>
    </font>
    <font>
      <i/>
      <sz val="9"/>
      <color rgb="FF595959"/>
      <name val="Arial"/>
    </font>
    <font>
      <sz val="10"/>
      <color rgb="FF0000FF"/>
      <name val="Arial"/>
    </font>
    <font>
      <b/>
      <sz val="11"/>
      <color rgb="FF1F3864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4F0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hair">
        <color rgb="FFBFBFBF"/>
      </bottom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17">
    <xf numFmtId="0" fontId="0" fillId="0" borderId="0" xfId="0" applyFont="1" applyFill="1" applyNumberFormat="1" applyBorder="1" applyAlignment="1"/>
    <xf numFmtId="0" fontId="1" fillId="2" borderId="0" xfId="0" applyFont="1" applyFill="1" applyNumberFormat="1" applyBorder="1" applyAlignment="1">
      <alignment horizontal="center" vertical="center" wrapText="1"/>
    </xf>
    <xf numFmtId="0" fontId="0" fillId="0" borderId="1" xfId="0" applyFont="1" applyFill="1" applyNumberFormat="1" applyBorder="1" applyAlignment="1"/>
    <xf numFmtId="164" fontId="0" fillId="0" borderId="1" xfId="0" applyFont="1" applyFill="1" applyNumberFormat="1" applyBorder="1" applyAlignment="1"/>
    <xf numFmtId="165" fontId="0" fillId="0" borderId="1" xfId="0" applyFont="1" applyFill="1" applyNumberFormat="1" applyBorder="1" applyAlignment="1">
      <alignment horizontal="left"/>
    </xf>
    <xf numFmtId="0" fontId="6" fillId="0" borderId="0" xfId="0" applyFont="1" applyFill="1" applyNumberFormat="1" applyBorder="1" applyAlignment="1"/>
    <xf numFmtId="164" fontId="2" fillId="3" borderId="0" xfId="0" applyFont="1" applyFill="1" applyNumberFormat="1" applyBorder="1" applyAlignment="1"/>
    <xf numFmtId="0" fontId="2" fillId="3" borderId="0" xfId="0" applyFont="1" applyFill="1" applyNumberFormat="1" applyBorder="1" applyAlignment="1"/>
    <xf numFmtId="0" fontId="2" fillId="4" borderId="2" xfId="0" applyFont="1" applyFill="1" applyNumberFormat="1" applyBorder="1" applyAlignment="1"/>
    <xf numFmtId="164" fontId="2" fillId="4" borderId="2" xfId="0" applyFont="1" applyFill="1" applyNumberFormat="1" applyBorder="1" applyAlignment="1"/>
    <xf numFmtId="0" fontId="3" fillId="0" borderId="0" xfId="0" applyFont="1" applyFill="1" applyNumberFormat="1" applyBorder="1" applyAlignment="1"/>
    <xf numFmtId="0" fontId="4" fillId="0" borderId="0" xfId="0" applyFont="1" applyFill="1" applyNumberFormat="1" applyBorder="1" applyAlignment="1">
      <alignment wrapText="1" vertical="top"/>
    </xf>
    <xf numFmtId="0" fontId="0" fillId="0" borderId="1" xfId="0" applyFont="1" applyFill="1" applyNumberFormat="1" applyBorder="1" applyAlignment="1">
      <alignment indent="1"/>
    </xf>
    <xf numFmtId="164" fontId="5" fillId="0" borderId="1" xfId="0" applyFont="1" applyFill="1" applyNumberFormat="1" applyBorder="1" applyAlignment="1"/>
    <xf numFmtId="0" fontId="4" fillId="0" borderId="0" xfId="0" applyFont="1" applyFill="1" applyNumberFormat="1" applyBorder="1" applyAlignment="1"/>
    <xf numFmtId="0" fontId="1" fillId="2" borderId="0" xfId="0" applyFont="1" applyFill="1" applyNumberFormat="1" applyBorder="1" applyAlignment="1">
      <alignment horizontal="left" vertical="center"/>
    </xf>
    <xf numFmtId="0" fontId="4" fillId="0" borderId="0" xfId="0" applyFont="1" applyFill="1" applyNumberFormat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5" topLeftCell="B6" activePane="bottomLeft" state="frozen"/>
    </sheetView>
  </sheetViews>
  <sheetFormatPr defaultRowHeight="15"/>
  <cols>
    <col min="1" max="1" width="44" customWidth="1"/>
    <col min="2" max="2" width="15" customWidth="1"/>
    <col min="3" max="3" width="15" customWidth="1"/>
    <col min="4" max="4" width="15" customWidth="1"/>
    <col min="5" max="5" width="15" customWidth="1"/>
    <col min="6" max="6" width="16" customWidth="1"/>
    <col min="7" max="7" width="15" customWidth="1"/>
  </cols>
  <sheetData>
    <row r="1">
      <c r="A1" s="10" t="inlineStr">
        <is>
          <t xml:space="preserve">Monthly Spending by Category</t>
        </is>
      </c>
    </row>
    <row r="2">
      <c r="A2" s="14" t="inlineStr">
        <is>
          <t xml:space="preserve">Wells Fargo Everyday Checking (…6004) · Michael J &amp; Carolyn Leigh B Dempsey · 4 statements, 5/27/26 – 9/24/26</t>
        </is>
      </c>
    </row>
    <row r="4" ht="18" customHeight="1">
      <c r="A4" s="15" t="inlineStr">
        <is>
          <t xml:space="preserve">Category</t>
        </is>
      </c>
      <c r="B4" s="1" t="inlineStr">
        <is>
          <t xml:space="preserve">June 2026</t>
        </is>
      </c>
      <c r="C4" s="1" t="inlineStr">
        <is>
          <t xml:space="preserve">July 2026</t>
        </is>
      </c>
      <c r="D4" s="1" t="inlineStr">
        <is>
          <t xml:space="preserve">August 2026</t>
        </is>
      </c>
      <c r="E4" s="1" t="inlineStr">
        <is>
          <t xml:space="preserve">September 2026</t>
        </is>
      </c>
      <c r="F4" s="1" t="inlineStr">
        <is>
          <t xml:space="preserve">4-Month Total</t>
        </is>
      </c>
      <c r="G4" s="1" t="inlineStr">
        <is>
          <t xml:space="preserve">Monthly Avg</t>
        </is>
      </c>
    </row>
    <row r="5">
      <c r="A5" s="16" t="inlineStr">
        <is>
          <t xml:space="preserve">Statement period</t>
        </is>
      </c>
      <c r="B5" s="16" t="inlineStr">
        <is>
          <t xml:space="preserve">5/27–6/24/26</t>
        </is>
      </c>
      <c r="C5" s="16" t="inlineStr">
        <is>
          <t xml:space="preserve">6/25–7/23/26</t>
        </is>
      </c>
      <c r="D5" s="16" t="inlineStr">
        <is>
          <t xml:space="preserve">7/24–8/25/26</t>
        </is>
      </c>
      <c r="E5" s="16" t="inlineStr">
        <is>
          <t xml:space="preserve">8/26–9/24/26</t>
        </is>
      </c>
    </row>
    <row r="6">
      <c r="A6" s="5" t="inlineStr">
        <is>
          <t xml:space="preserve">Housing</t>
        </is>
      </c>
    </row>
    <row r="7">
      <c r="A7" s="12" t="inlineStr">
        <is>
          <t xml:space="preserve">A&amp;D Mortgage</t>
        </is>
      </c>
      <c r="B7" s="3">
        <f>SUMIFS('All Transactions'!$F$5:$F$436,'All Transactions'!$D$5:$D$436,$A7,'All Transactions'!$A$5:$A$436,B$4)</f>
        <v>3411.1</v>
      </c>
      <c r="C7" s="3">
        <f>SUMIFS('All Transactions'!$F$5:$F$436,'All Transactions'!$D$5:$D$436,$A7,'All Transactions'!$A$5:$A$436,C$4)</f>
        <v>3411.1</v>
      </c>
      <c r="D7" s="3">
        <f>SUMIFS('All Transactions'!$F$5:$F$436,'All Transactions'!$D$5:$D$436,$A7,'All Transactions'!$A$5:$A$436,D$4)</f>
        <v>3411.1</v>
      </c>
      <c r="E7" s="3">
        <f>SUMIFS('All Transactions'!$F$5:$F$436,'All Transactions'!$D$5:$D$436,$A7,'All Transactions'!$A$5:$A$436,E$4)</f>
        <v>3411.1</v>
      </c>
      <c r="F7" s="3">
        <f>SUM(B7:E7)</f>
        <v>13644.4</v>
      </c>
      <c r="G7" s="3">
        <f>F7/4</f>
        <v>3411.1</v>
      </c>
    </row>
    <row r="8">
      <c r="A8" s="12" t="inlineStr">
        <is>
          <t xml:space="preserve">St. James Membership (Club)</t>
        </is>
      </c>
      <c r="B8" s="3">
        <f>SUMIFS('All Transactions'!$F$5:$F$436,'All Transactions'!$D$5:$D$436,$A8,'All Transactions'!$A$5:$A$436,B$4)</f>
        <v>1591.78</v>
      </c>
      <c r="C8" s="3">
        <f>SUMIFS('All Transactions'!$F$5:$F$436,'All Transactions'!$D$5:$D$436,$A8,'All Transactions'!$A$5:$A$436,C$4)</f>
        <v>1601.56</v>
      </c>
      <c r="D8" s="3">
        <f>SUMIFS('All Transactions'!$F$5:$F$436,'All Transactions'!$D$5:$D$436,$A8,'All Transactions'!$A$5:$A$436,D$4)</f>
        <v>1492.11</v>
      </c>
      <c r="E8" s="3">
        <f>SUMIFS('All Transactions'!$F$5:$F$436,'All Transactions'!$D$5:$D$436,$A8,'All Transactions'!$A$5:$A$436,E$4)</f>
        <v>1767.0</v>
      </c>
      <c r="F8" s="3">
        <f>SUM(B8:E8)</f>
        <v>6452.45</v>
      </c>
      <c r="G8" s="3">
        <f>F8/4</f>
        <v>1613.1125</v>
      </c>
    </row>
    <row r="9">
      <c r="A9" s="12" t="inlineStr">
        <is>
          <t xml:space="preserve">St. James Plantation POA Dues</t>
        </is>
      </c>
      <c r="B9" s="3">
        <f>SUMIFS('All Transactions'!$F$5:$F$436,'All Transactions'!$D$5:$D$436,$A9,'All Transactions'!$A$5:$A$436,B$4)</f>
        <v>692.95</v>
      </c>
      <c r="C9" s="3">
        <f>SUMIFS('All Transactions'!$F$5:$F$436,'All Transactions'!$D$5:$D$436,$A9,'All Transactions'!$A$5:$A$436,C$4)</f>
        <v>0</v>
      </c>
      <c r="D9" s="3">
        <f>SUMIFS('All Transactions'!$F$5:$F$436,'All Transactions'!$D$5:$D$436,$A9,'All Transactions'!$A$5:$A$436,D$4)</f>
        <v>0</v>
      </c>
      <c r="E9" s="3">
        <f>SUMIFS('All Transactions'!$F$5:$F$436,'All Transactions'!$D$5:$D$436,$A9,'All Transactions'!$A$5:$A$436,E$4)</f>
        <v>0</v>
      </c>
      <c r="F9" s="3">
        <f>SUM(B9:E9)</f>
        <v>692.95</v>
      </c>
      <c r="G9" s="3">
        <f>F9/4</f>
        <v>173.2375</v>
      </c>
    </row>
    <row r="10">
      <c r="A10" s="7" t="inlineStr">
        <is>
          <t xml:space="preserve">Total Housing</t>
        </is>
      </c>
      <c r="B10" s="6">
        <f>SUM(B7:B9)</f>
        <v>5695.83</v>
      </c>
      <c r="C10" s="6">
        <f>SUM(C7:C9)</f>
        <v>5012.66</v>
      </c>
      <c r="D10" s="6">
        <f>SUM(D7:D9)</f>
        <v>4903.21</v>
      </c>
      <c r="E10" s="6">
        <f>SUM(E7:E9)</f>
        <v>5178.1</v>
      </c>
      <c r="F10" s="6">
        <f>SUM(F7:F9)</f>
        <v>20789.8</v>
      </c>
      <c r="G10" s="6">
        <f>F10/4</f>
        <v>5197.45</v>
      </c>
    </row>
    <row r="12">
      <c r="A12" s="5" t="inlineStr">
        <is>
          <t xml:space="preserve">Insurance</t>
        </is>
      </c>
    </row>
    <row r="13">
      <c r="A13" s="12" t="inlineStr">
        <is>
          <t xml:space="preserve">Allstate Insurance</t>
        </is>
      </c>
      <c r="B13" s="3">
        <f>SUMIFS('All Transactions'!$F$5:$F$436,'All Transactions'!$D$5:$D$436,$A13,'All Transactions'!$A$5:$A$436,B$4)</f>
        <v>360.42</v>
      </c>
      <c r="C13" s="3">
        <f>SUMIFS('All Transactions'!$F$5:$F$436,'All Transactions'!$D$5:$D$436,$A13,'All Transactions'!$A$5:$A$436,C$4)</f>
        <v>360.42</v>
      </c>
      <c r="D13" s="3">
        <f>SUMIFS('All Transactions'!$F$5:$F$436,'All Transactions'!$D$5:$D$436,$A13,'All Transactions'!$A$5:$A$436,D$4)</f>
        <v>475.42</v>
      </c>
      <c r="E13" s="3">
        <f>SUMIFS('All Transactions'!$F$5:$F$436,'All Transactions'!$D$5:$D$436,$A13,'All Transactions'!$A$5:$A$436,E$4)</f>
        <v>354.17</v>
      </c>
      <c r="F13" s="3">
        <f>SUM(B13:E13)</f>
        <v>1550.43</v>
      </c>
      <c r="G13" s="3">
        <f>F13/4</f>
        <v>387.6075</v>
      </c>
    </row>
    <row r="14">
      <c r="A14" s="12" t="inlineStr">
        <is>
          <t xml:space="preserve">Life Insurance (Lincoln National)</t>
        </is>
      </c>
      <c r="B14" s="3">
        <f>SUMIFS('All Transactions'!$F$5:$F$436,'All Transactions'!$D$5:$D$436,$A14,'All Transactions'!$A$5:$A$436,B$4)</f>
        <v>79.21</v>
      </c>
      <c r="C14" s="3">
        <f>SUMIFS('All Transactions'!$F$5:$F$436,'All Transactions'!$D$5:$D$436,$A14,'All Transactions'!$A$5:$A$436,C$4)</f>
        <v>73.61</v>
      </c>
      <c r="D14" s="3">
        <f>SUMIFS('All Transactions'!$F$5:$F$436,'All Transactions'!$D$5:$D$436,$A14,'All Transactions'!$A$5:$A$436,D$4)</f>
        <v>73.61</v>
      </c>
      <c r="E14" s="3">
        <f>SUMIFS('All Transactions'!$F$5:$F$436,'All Transactions'!$D$5:$D$436,$A14,'All Transactions'!$A$5:$A$436,E$4)</f>
        <v>73.61</v>
      </c>
      <c r="F14" s="3">
        <f>SUM(B14:E14)</f>
        <v>300.04</v>
      </c>
      <c r="G14" s="3">
        <f>F14/4</f>
        <v>75.01</v>
      </c>
    </row>
    <row r="15">
      <c r="A15" s="12" t="inlineStr">
        <is>
          <t xml:space="preserve">Banner Life Insurance</t>
        </is>
      </c>
      <c r="B15" s="3">
        <f>SUMIFS('All Transactions'!$F$5:$F$436,'All Transactions'!$D$5:$D$436,$A15,'All Transactions'!$A$5:$A$436,B$4)</f>
        <v>710.06</v>
      </c>
      <c r="C15" s="3">
        <f>SUMIFS('All Transactions'!$F$5:$F$436,'All Transactions'!$D$5:$D$436,$A15,'All Transactions'!$A$5:$A$436,C$4)</f>
        <v>710.06</v>
      </c>
      <c r="D15" s="3">
        <f>SUMIFS('All Transactions'!$F$5:$F$436,'All Transactions'!$D$5:$D$436,$A15,'All Transactions'!$A$5:$A$436,D$4)</f>
        <v>710.06</v>
      </c>
      <c r="E15" s="3">
        <f>SUMIFS('All Transactions'!$F$5:$F$436,'All Transactions'!$D$5:$D$436,$A15,'All Transactions'!$A$5:$A$436,E$4)</f>
        <v>710.06</v>
      </c>
      <c r="F15" s="3">
        <f>SUM(B15:E15)</f>
        <v>2840.24</v>
      </c>
      <c r="G15" s="3">
        <f>F15/4</f>
        <v>710.06</v>
      </c>
    </row>
    <row r="16">
      <c r="A16" s="12" t="inlineStr">
        <is>
          <t xml:space="preserve">Health Insurance – Blue Cross NC</t>
        </is>
      </c>
      <c r="B16" s="3">
        <f>SUMIFS('All Transactions'!$F$5:$F$436,'All Transactions'!$D$5:$D$436,$A16,'All Transactions'!$A$5:$A$436,B$4)</f>
        <v>216.25</v>
      </c>
      <c r="C16" s="3">
        <f>SUMIFS('All Transactions'!$F$5:$F$436,'All Transactions'!$D$5:$D$436,$A16,'All Transactions'!$A$5:$A$436,C$4)</f>
        <v>0</v>
      </c>
      <c r="D16" s="3">
        <f>SUMIFS('All Transactions'!$F$5:$F$436,'All Transactions'!$D$5:$D$436,$A16,'All Transactions'!$A$5:$A$436,D$4)</f>
        <v>432.5</v>
      </c>
      <c r="E16" s="3">
        <f>SUMIFS('All Transactions'!$F$5:$F$436,'All Transactions'!$D$5:$D$436,$A16,'All Transactions'!$A$5:$A$436,E$4)</f>
        <v>216.25</v>
      </c>
      <c r="F16" s="3">
        <f>SUM(B16:E16)</f>
        <v>865.0</v>
      </c>
      <c r="G16" s="3">
        <f>F16/4</f>
        <v>216.25</v>
      </c>
    </row>
    <row r="17">
      <c r="A17" s="12" t="inlineStr">
        <is>
          <t xml:space="preserve">Dental Insurance – Delta Dental</t>
        </is>
      </c>
      <c r="B17" s="3">
        <f>SUMIFS('All Transactions'!$F$5:$F$436,'All Transactions'!$D$5:$D$436,$A17,'All Transactions'!$A$5:$A$436,B$4)</f>
        <v>69.36</v>
      </c>
      <c r="C17" s="3">
        <f>SUMIFS('All Transactions'!$F$5:$F$436,'All Transactions'!$D$5:$D$436,$A17,'All Transactions'!$A$5:$A$436,C$4)</f>
        <v>69.36</v>
      </c>
      <c r="D17" s="3">
        <f>SUMIFS('All Transactions'!$F$5:$F$436,'All Transactions'!$D$5:$D$436,$A17,'All Transactions'!$A$5:$A$436,D$4)</f>
        <v>69.36</v>
      </c>
      <c r="E17" s="3">
        <f>SUMIFS('All Transactions'!$F$5:$F$436,'All Transactions'!$D$5:$D$436,$A17,'All Transactions'!$A$5:$A$436,E$4)</f>
        <v>69.36</v>
      </c>
      <c r="F17" s="3">
        <f>SUM(B17:E17)</f>
        <v>277.44</v>
      </c>
      <c r="G17" s="3">
        <f>F17/4</f>
        <v>69.36</v>
      </c>
    </row>
    <row r="18">
      <c r="A18" s="7" t="inlineStr">
        <is>
          <t xml:space="preserve">Total Insurance</t>
        </is>
      </c>
      <c r="B18" s="6">
        <f>SUM(B13:B17)</f>
        <v>1435.3</v>
      </c>
      <c r="C18" s="6">
        <f>SUM(C13:C17)</f>
        <v>1213.45</v>
      </c>
      <c r="D18" s="6">
        <f>SUM(D13:D17)</f>
        <v>1760.95</v>
      </c>
      <c r="E18" s="6">
        <f>SUM(E13:E17)</f>
        <v>1423.45</v>
      </c>
      <c r="F18" s="6">
        <f>SUM(F13:F17)</f>
        <v>5833.15</v>
      </c>
      <c r="G18" s="6">
        <f>F18/4</f>
        <v>1458.2875</v>
      </c>
    </row>
    <row r="20">
      <c r="A20" s="5" t="inlineStr">
        <is>
          <t xml:space="preserve">Utilities</t>
        </is>
      </c>
    </row>
    <row r="21">
      <c r="A21" s="12" t="inlineStr">
        <is>
          <t xml:space="preserve">Utility – Electric (BEMC)</t>
        </is>
      </c>
      <c r="B21" s="3">
        <f>SUMIFS('All Transactions'!$F$5:$F$436,'All Transactions'!$D$5:$D$436,$A21,'All Transactions'!$A$5:$A$436,B$4)</f>
        <v>0</v>
      </c>
      <c r="C21" s="3">
        <f>SUMIFS('All Transactions'!$F$5:$F$436,'All Transactions'!$D$5:$D$436,$A21,'All Transactions'!$A$5:$A$436,C$4)</f>
        <v>336.35</v>
      </c>
      <c r="D21" s="3">
        <f>SUMIFS('All Transactions'!$F$5:$F$436,'All Transactions'!$D$5:$D$436,$A21,'All Transactions'!$A$5:$A$436,D$4)</f>
        <v>406.96</v>
      </c>
      <c r="E21" s="3">
        <f>SUMIFS('All Transactions'!$F$5:$F$436,'All Transactions'!$D$5:$D$436,$A21,'All Transactions'!$A$5:$A$436,E$4)</f>
        <v>419.66</v>
      </c>
      <c r="F21" s="3">
        <f>SUM(B21:E21)</f>
        <v>1162.97</v>
      </c>
      <c r="G21" s="3">
        <f>F21/4</f>
        <v>290.7425</v>
      </c>
    </row>
    <row r="22">
      <c r="A22" s="12" t="inlineStr">
        <is>
          <t xml:space="preserve">Utility – Water/Sewer (Brunswick County)</t>
        </is>
      </c>
      <c r="B22" s="3">
        <f>SUMIFS('All Transactions'!$F$5:$F$436,'All Transactions'!$D$5:$D$436,$A22,'All Transactions'!$A$5:$A$436,B$4)</f>
        <v>78.84</v>
      </c>
      <c r="C22" s="3">
        <f>SUMIFS('All Transactions'!$F$5:$F$436,'All Transactions'!$D$5:$D$436,$A22,'All Transactions'!$A$5:$A$436,C$4)</f>
        <v>0</v>
      </c>
      <c r="D22" s="3">
        <f>SUMIFS('All Transactions'!$F$5:$F$436,'All Transactions'!$D$5:$D$436,$A22,'All Transactions'!$A$5:$A$436,D$4)</f>
        <v>179.33</v>
      </c>
      <c r="E22" s="3">
        <f>SUMIFS('All Transactions'!$F$5:$F$436,'All Transactions'!$D$5:$D$436,$A22,'All Transactions'!$A$5:$A$436,E$4)</f>
        <v>84.26</v>
      </c>
      <c r="F22" s="3">
        <f>SUM(B22:E22)</f>
        <v>342.43</v>
      </c>
      <c r="G22" s="3">
        <f>F22/4</f>
        <v>85.6075</v>
      </c>
    </row>
    <row r="23">
      <c r="A23" s="7" t="inlineStr">
        <is>
          <t xml:space="preserve">Total Utilities</t>
        </is>
      </c>
      <c r="B23" s="6">
        <f>SUM(B21:B22)</f>
        <v>78.84</v>
      </c>
      <c r="C23" s="6">
        <f>SUM(C21:C22)</f>
        <v>336.35</v>
      </c>
      <c r="D23" s="6">
        <f>SUM(D21:D22)</f>
        <v>586.29</v>
      </c>
      <c r="E23" s="6">
        <f>SUM(E21:E22)</f>
        <v>503.92</v>
      </c>
      <c r="F23" s="6">
        <f>SUM(F21:F22)</f>
        <v>1505.4</v>
      </c>
      <c r="G23" s="6">
        <f>F23/4</f>
        <v>376.35</v>
      </c>
    </row>
    <row r="25">
      <c r="A25" s="5" t="inlineStr">
        <is>
          <t xml:space="preserve">Phone &amp; Internet</t>
        </is>
      </c>
    </row>
    <row r="26">
      <c r="A26" s="12" t="inlineStr">
        <is>
          <t xml:space="preserve">Internet – Focus Broadband</t>
        </is>
      </c>
      <c r="B26" s="3">
        <f>SUMIFS('All Transactions'!$F$5:$F$436,'All Transactions'!$D$5:$D$436,$A26,'All Transactions'!$A$5:$A$436,B$4)</f>
        <v>80.79</v>
      </c>
      <c r="C26" s="3">
        <f>SUMIFS('All Transactions'!$F$5:$F$436,'All Transactions'!$D$5:$D$436,$A26,'All Transactions'!$A$5:$A$436,C$4)</f>
        <v>0</v>
      </c>
      <c r="D26" s="3">
        <f>SUMIFS('All Transactions'!$F$5:$F$436,'All Transactions'!$D$5:$D$436,$A26,'All Transactions'!$A$5:$A$436,D$4)</f>
        <v>161.58</v>
      </c>
      <c r="E26" s="3">
        <f>SUMIFS('All Transactions'!$F$5:$F$436,'All Transactions'!$D$5:$D$436,$A26,'All Transactions'!$A$5:$A$436,E$4)</f>
        <v>80.79</v>
      </c>
      <c r="F26" s="3">
        <f>SUM(B26:E26)</f>
        <v>323.16</v>
      </c>
      <c r="G26" s="3">
        <f>F26/4</f>
        <v>80.79</v>
      </c>
    </row>
    <row r="27">
      <c r="A27" s="12" t="inlineStr">
        <is>
          <t xml:space="preserve">Verizon Wireless</t>
        </is>
      </c>
      <c r="B27" s="3">
        <f>SUMIFS('All Transactions'!$F$5:$F$436,'All Transactions'!$D$5:$D$436,$A27,'All Transactions'!$A$5:$A$436,B$4)</f>
        <v>294.57</v>
      </c>
      <c r="C27" s="3">
        <f>SUMIFS('All Transactions'!$F$5:$F$436,'All Transactions'!$D$5:$D$436,$A27,'All Transactions'!$A$5:$A$436,C$4)</f>
        <v>294.8</v>
      </c>
      <c r="D27" s="3">
        <f>SUMIFS('All Transactions'!$F$5:$F$436,'All Transactions'!$D$5:$D$436,$A27,'All Transactions'!$A$5:$A$436,D$4)</f>
        <v>436.02</v>
      </c>
      <c r="E27" s="3">
        <f>SUMIFS('All Transactions'!$F$5:$F$436,'All Transactions'!$D$5:$D$436,$A27,'All Transactions'!$A$5:$A$436,E$4)</f>
        <v>386.85</v>
      </c>
      <c r="F27" s="3">
        <f>SUM(B27:E27)</f>
        <v>1412.24</v>
      </c>
      <c r="G27" s="3">
        <f>F27/4</f>
        <v>353.06</v>
      </c>
    </row>
    <row r="28">
      <c r="A28" s="7" t="inlineStr">
        <is>
          <t xml:space="preserve">Total Phone &amp; Internet</t>
        </is>
      </c>
      <c r="B28" s="6">
        <f>SUM(B26:B27)</f>
        <v>375.36</v>
      </c>
      <c r="C28" s="6">
        <f>SUM(C26:C27)</f>
        <v>294.8</v>
      </c>
      <c r="D28" s="6">
        <f>SUM(D26:D27)</f>
        <v>597.6</v>
      </c>
      <c r="E28" s="6">
        <f>SUM(E26:E27)</f>
        <v>467.64</v>
      </c>
      <c r="F28" s="6">
        <f>SUM(F26:F27)</f>
        <v>1735.4</v>
      </c>
      <c r="G28" s="6">
        <f>F28/4</f>
        <v>433.85</v>
      </c>
    </row>
    <row r="30">
      <c r="A30" s="5" t="inlineStr">
        <is>
          <t xml:space="preserve">Student Loan</t>
        </is>
      </c>
    </row>
    <row r="31">
      <c r="A31" s="12" t="inlineStr">
        <is>
          <t xml:space="preserve">Student Loan (Dept of Education)</t>
        </is>
      </c>
      <c r="B31" s="3">
        <f>SUMIFS('All Transactions'!$F$5:$F$436,'All Transactions'!$D$5:$D$436,$A31,'All Transactions'!$A$5:$A$436,B$4)</f>
        <v>160.37</v>
      </c>
      <c r="C31" s="3">
        <f>SUMIFS('All Transactions'!$F$5:$F$436,'All Transactions'!$D$5:$D$436,$A31,'All Transactions'!$A$5:$A$436,C$4)</f>
        <v>160.37</v>
      </c>
      <c r="D31" s="3">
        <f>SUMIFS('All Transactions'!$F$5:$F$436,'All Transactions'!$D$5:$D$436,$A31,'All Transactions'!$A$5:$A$436,D$4)</f>
        <v>160.37</v>
      </c>
      <c r="E31" s="3">
        <f>SUMIFS('All Transactions'!$F$5:$F$436,'All Transactions'!$D$5:$D$436,$A31,'All Transactions'!$A$5:$A$436,E$4)</f>
        <v>160.37</v>
      </c>
      <c r="F31" s="3">
        <f>SUM(B31:E31)</f>
        <v>641.48</v>
      </c>
      <c r="G31" s="3">
        <f>F31/4</f>
        <v>160.37</v>
      </c>
    </row>
    <row r="32">
      <c r="A32" s="7" t="inlineStr">
        <is>
          <t xml:space="preserve">Total Student Loan</t>
        </is>
      </c>
      <c r="B32" s="6">
        <f>SUM(B31:B31)</f>
        <v>160.37</v>
      </c>
      <c r="C32" s="6">
        <f>SUM(C31:C31)</f>
        <v>160.37</v>
      </c>
      <c r="D32" s="6">
        <f>SUM(D31:D31)</f>
        <v>160.37</v>
      </c>
      <c r="E32" s="6">
        <f>SUM(E31:E31)</f>
        <v>160.37</v>
      </c>
      <c r="F32" s="6">
        <f>SUM(F31:F31)</f>
        <v>641.48</v>
      </c>
      <c r="G32" s="6">
        <f>F32/4</f>
        <v>160.37</v>
      </c>
    </row>
    <row r="34">
      <c r="A34" s="5" t="inlineStr">
        <is>
          <t xml:space="preserve">Groceries</t>
        </is>
      </c>
    </row>
    <row r="35">
      <c r="A35" s="12" t="inlineStr">
        <is>
          <t xml:space="preserve">Grocery – Lowes Foods</t>
        </is>
      </c>
      <c r="B35" s="3">
        <f>SUMIFS('All Transactions'!$F$5:$F$436,'All Transactions'!$D$5:$D$436,$A35,'All Transactions'!$A$5:$A$436,B$4)</f>
        <v>1145.69</v>
      </c>
      <c r="C35" s="3">
        <f>SUMIFS('All Transactions'!$F$5:$F$436,'All Transactions'!$D$5:$D$436,$A35,'All Transactions'!$A$5:$A$436,C$4)</f>
        <v>611.14</v>
      </c>
      <c r="D35" s="3">
        <f>SUMIFS('All Transactions'!$F$5:$F$436,'All Transactions'!$D$5:$D$436,$A35,'All Transactions'!$A$5:$A$436,D$4)</f>
        <v>584.25</v>
      </c>
      <c r="E35" s="3">
        <f>SUMIFS('All Transactions'!$F$5:$F$436,'All Transactions'!$D$5:$D$436,$A35,'All Transactions'!$A$5:$A$436,E$4)</f>
        <v>571.85</v>
      </c>
      <c r="F35" s="3">
        <f>SUM(B35:E35)</f>
        <v>2912.93</v>
      </c>
      <c r="G35" s="3">
        <f>F35/4</f>
        <v>728.2325</v>
      </c>
    </row>
    <row r="36">
      <c r="A36" s="12" t="inlineStr">
        <is>
          <t xml:space="preserve">Grocery – Publix</t>
        </is>
      </c>
      <c r="B36" s="3">
        <f>SUMIFS('All Transactions'!$F$5:$F$436,'All Transactions'!$D$5:$D$436,$A36,'All Transactions'!$A$5:$A$436,B$4)</f>
        <v>120.71</v>
      </c>
      <c r="C36" s="3">
        <f>SUMIFS('All Transactions'!$F$5:$F$436,'All Transactions'!$D$5:$D$436,$A36,'All Transactions'!$A$5:$A$436,C$4)</f>
        <v>331.43</v>
      </c>
      <c r="D36" s="3">
        <f>SUMIFS('All Transactions'!$F$5:$F$436,'All Transactions'!$D$5:$D$436,$A36,'All Transactions'!$A$5:$A$436,D$4)</f>
        <v>522.68</v>
      </c>
      <c r="E36" s="3">
        <f>SUMIFS('All Transactions'!$F$5:$F$436,'All Transactions'!$D$5:$D$436,$A36,'All Transactions'!$A$5:$A$436,E$4)</f>
        <v>630.65</v>
      </c>
      <c r="F36" s="3">
        <f>SUM(B36:E36)</f>
        <v>1605.47</v>
      </c>
      <c r="G36" s="3">
        <f>F36/4</f>
        <v>401.3675</v>
      </c>
    </row>
    <row r="37">
      <c r="A37" s="12" t="inlineStr">
        <is>
          <t xml:space="preserve">Grocery – Food Lion</t>
        </is>
      </c>
      <c r="B37" s="3">
        <f>SUMIFS('All Transactions'!$F$5:$F$436,'All Transactions'!$D$5:$D$436,$A37,'All Transactions'!$A$5:$A$436,B$4)</f>
        <v>0</v>
      </c>
      <c r="C37" s="3">
        <f>SUMIFS('All Transactions'!$F$5:$F$436,'All Transactions'!$D$5:$D$436,$A37,'All Transactions'!$A$5:$A$436,C$4)</f>
        <v>336.67</v>
      </c>
      <c r="D37" s="3">
        <f>SUMIFS('All Transactions'!$F$5:$F$436,'All Transactions'!$D$5:$D$436,$A37,'All Transactions'!$A$5:$A$436,D$4)</f>
        <v>77.34</v>
      </c>
      <c r="E37" s="3">
        <f>SUMIFS('All Transactions'!$F$5:$F$436,'All Transactions'!$D$5:$D$436,$A37,'All Transactions'!$A$5:$A$436,E$4)</f>
        <v>0</v>
      </c>
      <c r="F37" s="3">
        <f>SUM(B37:E37)</f>
        <v>414.01</v>
      </c>
      <c r="G37" s="3">
        <f>F37/4</f>
        <v>103.5025</v>
      </c>
    </row>
    <row r="38">
      <c r="A38" s="7" t="inlineStr">
        <is>
          <t xml:space="preserve">Total Groceries</t>
        </is>
      </c>
      <c r="B38" s="6">
        <f>SUM(B35:B37)</f>
        <v>1266.4</v>
      </c>
      <c r="C38" s="6">
        <f>SUM(C35:C37)</f>
        <v>1279.24</v>
      </c>
      <c r="D38" s="6">
        <f>SUM(D35:D37)</f>
        <v>1184.27</v>
      </c>
      <c r="E38" s="6">
        <f>SUM(E35:E37)</f>
        <v>1202.5</v>
      </c>
      <c r="F38" s="6">
        <f>SUM(F35:F37)</f>
        <v>4932.41</v>
      </c>
      <c r="G38" s="6">
        <f>F38/4</f>
        <v>1233.1025</v>
      </c>
    </row>
    <row r="40">
      <c r="A40" s="5" t="inlineStr">
        <is>
          <t xml:space="preserve">Food</t>
        </is>
      </c>
    </row>
    <row r="41">
      <c r="A41" s="12" t="inlineStr">
        <is>
          <t xml:space="preserve">Other Food Stores (Harris Teeter, Beach Pantry)</t>
        </is>
      </c>
      <c r="B41" s="3">
        <f>SUMIFS('All Transactions'!$F$5:$F$436,'All Transactions'!$D$5:$D$436,$A41,'All Transactions'!$A$5:$A$436,B$4)</f>
        <v>263.35</v>
      </c>
      <c r="C41" s="3">
        <f>SUMIFS('All Transactions'!$F$5:$F$436,'All Transactions'!$D$5:$D$436,$A41,'All Transactions'!$A$5:$A$436,C$4)</f>
        <v>0</v>
      </c>
      <c r="D41" s="3">
        <f>SUMIFS('All Transactions'!$F$5:$F$436,'All Transactions'!$D$5:$D$436,$A41,'All Transactions'!$A$5:$A$436,D$4)</f>
        <v>5.85</v>
      </c>
      <c r="E41" s="3">
        <f>SUMIFS('All Transactions'!$F$5:$F$436,'All Transactions'!$D$5:$D$436,$A41,'All Transactions'!$A$5:$A$436,E$4)</f>
        <v>0</v>
      </c>
      <c r="F41" s="3">
        <f>SUM(B41:E41)</f>
        <v>269.2</v>
      </c>
      <c r="G41" s="3">
        <f>F41/4</f>
        <v>67.3</v>
      </c>
    </row>
    <row r="42">
      <c r="A42" s="12" t="inlineStr">
        <is>
          <t xml:space="preserve">Restaurants &amp; Takeout</t>
        </is>
      </c>
      <c r="B42" s="3">
        <f>SUMIFS('All Transactions'!$F$5:$F$436,'All Transactions'!$D$5:$D$436,$A42,'All Transactions'!$A$5:$A$436,B$4)</f>
        <v>1019.45</v>
      </c>
      <c r="C42" s="3">
        <f>SUMIFS('All Transactions'!$F$5:$F$436,'All Transactions'!$D$5:$D$436,$A42,'All Transactions'!$A$5:$A$436,C$4)</f>
        <v>909.94</v>
      </c>
      <c r="D42" s="3">
        <f>SUMIFS('All Transactions'!$F$5:$F$436,'All Transactions'!$D$5:$D$436,$A42,'All Transactions'!$A$5:$A$436,D$4)</f>
        <v>962.62</v>
      </c>
      <c r="E42" s="3">
        <f>SUMIFS('All Transactions'!$F$5:$F$436,'All Transactions'!$D$5:$D$436,$A42,'All Transactions'!$A$5:$A$436,E$4)</f>
        <v>839.3</v>
      </c>
      <c r="F42" s="3">
        <f>SUM(B42:E42)</f>
        <v>3731.31</v>
      </c>
      <c r="G42" s="3">
        <f>F42/4</f>
        <v>932.8275</v>
      </c>
    </row>
    <row r="43">
      <c r="A43" s="7" t="inlineStr">
        <is>
          <t xml:space="preserve">Total Food</t>
        </is>
      </c>
      <c r="B43" s="6">
        <f>SUM(B41:B42)</f>
        <v>1282.8</v>
      </c>
      <c r="C43" s="6">
        <f>SUM(C41:C42)</f>
        <v>909.94</v>
      </c>
      <c r="D43" s="6">
        <f>SUM(D41:D42)</f>
        <v>968.47</v>
      </c>
      <c r="E43" s="6">
        <f>SUM(E41:E42)</f>
        <v>839.3</v>
      </c>
      <c r="F43" s="6">
        <f>SUM(F41:F42)</f>
        <v>4000.51</v>
      </c>
      <c r="G43" s="6">
        <f>F43/4</f>
        <v>1000.1275</v>
      </c>
    </row>
    <row r="45">
      <c r="A45" s="5" t="inlineStr">
        <is>
          <t xml:space="preserve">Transportation</t>
        </is>
      </c>
    </row>
    <row r="46">
      <c r="A46" s="12" t="inlineStr">
        <is>
          <t xml:space="preserve">Gas &amp; Convenience Stores</t>
        </is>
      </c>
      <c r="B46" s="3">
        <f>SUMIFS('All Transactions'!$F$5:$F$436,'All Transactions'!$D$5:$D$436,$A46,'All Transactions'!$A$5:$A$436,B$4)</f>
        <v>108.9</v>
      </c>
      <c r="C46" s="3">
        <f>SUMIFS('All Transactions'!$F$5:$F$436,'All Transactions'!$D$5:$D$436,$A46,'All Transactions'!$A$5:$A$436,C$4)</f>
        <v>277.87</v>
      </c>
      <c r="D46" s="3">
        <f>SUMIFS('All Transactions'!$F$5:$F$436,'All Transactions'!$D$5:$D$436,$A46,'All Transactions'!$A$5:$A$436,D$4)</f>
        <v>167.24</v>
      </c>
      <c r="E46" s="3">
        <f>SUMIFS('All Transactions'!$F$5:$F$436,'All Transactions'!$D$5:$D$436,$A46,'All Transactions'!$A$5:$A$436,E$4)</f>
        <v>238.98</v>
      </c>
      <c r="F46" s="3">
        <f>SUM(B46:E46)</f>
        <v>792.99</v>
      </c>
      <c r="G46" s="3">
        <f>F46/4</f>
        <v>198.2475</v>
      </c>
    </row>
    <row r="47">
      <c r="A47" s="12" t="inlineStr">
        <is>
          <t xml:space="preserve">Tolls &amp; Parking</t>
        </is>
      </c>
      <c r="B47" s="3">
        <f>SUMIFS('All Transactions'!$F$5:$F$436,'All Transactions'!$D$5:$D$436,$A47,'All Transactions'!$A$5:$A$436,B$4)</f>
        <v>5.84</v>
      </c>
      <c r="C47" s="3">
        <f>SUMIFS('All Transactions'!$F$5:$F$436,'All Transactions'!$D$5:$D$436,$A47,'All Transactions'!$A$5:$A$436,C$4)</f>
        <v>0</v>
      </c>
      <c r="D47" s="3">
        <f>SUMIFS('All Transactions'!$F$5:$F$436,'All Transactions'!$D$5:$D$436,$A47,'All Transactions'!$A$5:$A$436,D$4)</f>
        <v>18.44</v>
      </c>
      <c r="E47" s="3">
        <f>SUMIFS('All Transactions'!$F$5:$F$436,'All Transactions'!$D$5:$D$436,$A47,'All Transactions'!$A$5:$A$436,E$4)</f>
        <v>68.24</v>
      </c>
      <c r="F47" s="3">
        <f>SUM(B47:E47)</f>
        <v>92.52</v>
      </c>
      <c r="G47" s="3">
        <f>F47/4</f>
        <v>23.13</v>
      </c>
    </row>
    <row r="48">
      <c r="A48" s="7" t="inlineStr">
        <is>
          <t xml:space="preserve">Total Transportation</t>
        </is>
      </c>
      <c r="B48" s="6">
        <f>SUM(B46:B47)</f>
        <v>114.74</v>
      </c>
      <c r="C48" s="6">
        <f>SUM(C46:C47)</f>
        <v>277.87</v>
      </c>
      <c r="D48" s="6">
        <f>SUM(D46:D47)</f>
        <v>185.68</v>
      </c>
      <c r="E48" s="6">
        <f>SUM(E46:E47)</f>
        <v>307.22</v>
      </c>
      <c r="F48" s="6">
        <f>SUM(F46:F47)</f>
        <v>885.51</v>
      </c>
      <c r="G48" s="6">
        <f>F48/4</f>
        <v>221.3775</v>
      </c>
    </row>
    <row r="50">
      <c r="A50" s="5" t="inlineStr">
        <is>
          <t xml:space="preserve">Streaming</t>
        </is>
      </c>
    </row>
    <row r="51">
      <c r="A51" s="12" t="inlineStr">
        <is>
          <t xml:space="preserve">Streaming – YouTube TV (Google)</t>
        </is>
      </c>
      <c r="B51" s="3">
        <f>SUMIFS('All Transactions'!$F$5:$F$436,'All Transactions'!$D$5:$D$436,$A51,'All Transactions'!$A$5:$A$436,B$4)</f>
        <v>100.78</v>
      </c>
      <c r="C51" s="3">
        <f>SUMIFS('All Transactions'!$F$5:$F$436,'All Transactions'!$D$5:$D$436,$A51,'All Transactions'!$A$5:$A$436,C$4)</f>
        <v>100.78</v>
      </c>
      <c r="D51" s="3">
        <f>SUMIFS('All Transactions'!$F$5:$F$436,'All Transactions'!$D$5:$D$436,$A51,'All Transactions'!$A$5:$A$436,D$4)</f>
        <v>89.0</v>
      </c>
      <c r="E51" s="3">
        <f>SUMIFS('All Transactions'!$F$5:$F$436,'All Transactions'!$D$5:$D$436,$A51,'All Transactions'!$A$5:$A$436,E$4)</f>
        <v>132.43</v>
      </c>
      <c r="F51" s="3">
        <f>SUM(B51:E51)</f>
        <v>422.99</v>
      </c>
      <c r="G51" s="3">
        <f>F51/4</f>
        <v>105.7475</v>
      </c>
    </row>
    <row r="52">
      <c r="A52" s="12" t="inlineStr">
        <is>
          <t xml:space="preserve">Streaming – ESPN (Sept billed as Disney Plus)</t>
        </is>
      </c>
      <c r="B52" s="3">
        <f>SUMIFS('All Transactions'!$F$5:$F$436,'All Transactions'!$D$5:$D$436,$A52,'All Transactions'!$A$5:$A$436,B$4)</f>
        <v>13.87</v>
      </c>
      <c r="C52" s="3">
        <f>SUMIFS('All Transactions'!$F$5:$F$436,'All Transactions'!$D$5:$D$436,$A52,'All Transactions'!$A$5:$A$436,C$4)</f>
        <v>13.87</v>
      </c>
      <c r="D52" s="3">
        <f>SUMIFS('All Transactions'!$F$5:$F$436,'All Transactions'!$D$5:$D$436,$A52,'All Transactions'!$A$5:$A$436,D$4)</f>
        <v>13.87</v>
      </c>
      <c r="E52" s="3">
        <f>SUMIFS('All Transactions'!$F$5:$F$436,'All Transactions'!$D$5:$D$436,$A52,'All Transactions'!$A$5:$A$436,E$4)</f>
        <v>13.87</v>
      </c>
      <c r="F52" s="3">
        <f>SUM(B52:E52)</f>
        <v>55.48</v>
      </c>
      <c r="G52" s="3">
        <f>F52/4</f>
        <v>13.87</v>
      </c>
    </row>
    <row r="53">
      <c r="A53" s="12" t="inlineStr">
        <is>
          <t xml:space="preserve">Streaming – Disney (via Roku)</t>
        </is>
      </c>
      <c r="B53" s="3">
        <f>SUMIFS('All Transactions'!$F$5:$F$436,'All Transactions'!$D$5:$D$436,$A53,'All Transactions'!$A$5:$A$436,B$4)</f>
        <v>20.27</v>
      </c>
      <c r="C53" s="3">
        <f>SUMIFS('All Transactions'!$F$5:$F$436,'All Transactions'!$D$5:$D$436,$A53,'All Transactions'!$A$5:$A$436,C$4)</f>
        <v>20.27</v>
      </c>
      <c r="D53" s="3">
        <f>SUMIFS('All Transactions'!$F$5:$F$436,'All Transactions'!$D$5:$D$436,$A53,'All Transactions'!$A$5:$A$436,D$4)</f>
        <v>20.27</v>
      </c>
      <c r="E53" s="3">
        <f>SUMIFS('All Transactions'!$F$5:$F$436,'All Transactions'!$D$5:$D$436,$A53,'All Transactions'!$A$5:$A$436,E$4)</f>
        <v>20.27</v>
      </c>
      <c r="F53" s="3">
        <f>SUM(B53:E53)</f>
        <v>81.08</v>
      </c>
      <c r="G53" s="3">
        <f>F53/4</f>
        <v>20.27</v>
      </c>
    </row>
    <row r="54">
      <c r="A54" s="12" t="inlineStr">
        <is>
          <t xml:space="preserve">Streaming – HBO Max</t>
        </is>
      </c>
      <c r="B54" s="3">
        <f>SUMIFS('All Transactions'!$F$5:$F$436,'All Transactions'!$D$5:$D$436,$A54,'All Transactions'!$A$5:$A$436,B$4)</f>
        <v>19.74</v>
      </c>
      <c r="C54" s="3">
        <f>SUMIFS('All Transactions'!$F$5:$F$436,'All Transactions'!$D$5:$D$436,$A54,'All Transactions'!$A$5:$A$436,C$4)</f>
        <v>19.74</v>
      </c>
      <c r="D54" s="3">
        <f>SUMIFS('All Transactions'!$F$5:$F$436,'All Transactions'!$D$5:$D$436,$A54,'All Transactions'!$A$5:$A$436,D$4)</f>
        <v>0</v>
      </c>
      <c r="E54" s="3">
        <f>SUMIFS('All Transactions'!$F$5:$F$436,'All Transactions'!$D$5:$D$436,$A54,'All Transactions'!$A$5:$A$436,E$4)</f>
        <v>0</v>
      </c>
      <c r="F54" s="3">
        <f>SUM(B54:E54)</f>
        <v>39.48</v>
      </c>
      <c r="G54" s="3">
        <f>F54/4</f>
        <v>9.87</v>
      </c>
    </row>
    <row r="55">
      <c r="A55" s="12" t="inlineStr">
        <is>
          <t xml:space="preserve">Streaming – Hulu</t>
        </is>
      </c>
      <c r="B55" s="3">
        <f>SUMIFS('All Transactions'!$F$5:$F$436,'All Transactions'!$D$5:$D$436,$A55,'All Transactions'!$A$5:$A$436,B$4)</f>
        <v>0</v>
      </c>
      <c r="C55" s="3">
        <f>SUMIFS('All Transactions'!$F$5:$F$436,'All Transactions'!$D$5:$D$436,$A55,'All Transactions'!$A$5:$A$436,C$4)</f>
        <v>12.8</v>
      </c>
      <c r="D55" s="3">
        <f>SUMIFS('All Transactions'!$F$5:$F$436,'All Transactions'!$D$5:$D$436,$A55,'All Transactions'!$A$5:$A$436,D$4)</f>
        <v>12.8</v>
      </c>
      <c r="E55" s="3">
        <f>SUMIFS('All Transactions'!$F$5:$F$436,'All Transactions'!$D$5:$D$436,$A55,'All Transactions'!$A$5:$A$436,E$4)</f>
        <v>0</v>
      </c>
      <c r="F55" s="3">
        <f>SUM(B55:E55)</f>
        <v>25.6</v>
      </c>
      <c r="G55" s="3">
        <f>F55/4</f>
        <v>6.4</v>
      </c>
    </row>
    <row r="56">
      <c r="A56" s="12" t="inlineStr">
        <is>
          <t xml:space="preserve">Streaming – Peacock (via Roku)</t>
        </is>
      </c>
      <c r="B56" s="3">
        <f>SUMIFS('All Transactions'!$F$5:$F$436,'All Transactions'!$D$5:$D$436,$A56,'All Transactions'!$A$5:$A$436,B$4)</f>
        <v>11.73</v>
      </c>
      <c r="C56" s="3">
        <f>SUMIFS('All Transactions'!$F$5:$F$436,'All Transactions'!$D$5:$D$436,$A56,'All Transactions'!$A$5:$A$436,C$4)</f>
        <v>11.73</v>
      </c>
      <c r="D56" s="3">
        <f>SUMIFS('All Transactions'!$F$5:$F$436,'All Transactions'!$D$5:$D$436,$A56,'All Transactions'!$A$5:$A$436,D$4)</f>
        <v>0</v>
      </c>
      <c r="E56" s="3">
        <f>SUMIFS('All Transactions'!$F$5:$F$436,'All Transactions'!$D$5:$D$436,$A56,'All Transactions'!$A$5:$A$436,E$4)</f>
        <v>0</v>
      </c>
      <c r="F56" s="3">
        <f>SUM(B56:E56)</f>
        <v>23.46</v>
      </c>
      <c r="G56" s="3">
        <f>F56/4</f>
        <v>5.865</v>
      </c>
    </row>
    <row r="57">
      <c r="A57" s="12" t="inlineStr">
        <is>
          <t xml:space="preserve">Streaming – Frndly TV</t>
        </is>
      </c>
      <c r="B57" s="3">
        <f>SUMIFS('All Transactions'!$F$5:$F$436,'All Transactions'!$D$5:$D$436,$A57,'All Transactions'!$A$5:$A$436,B$4)</f>
        <v>22.41</v>
      </c>
      <c r="C57" s="3">
        <f>SUMIFS('All Transactions'!$F$5:$F$436,'All Transactions'!$D$5:$D$436,$A57,'All Transactions'!$A$5:$A$436,C$4)</f>
        <v>22.41</v>
      </c>
      <c r="D57" s="3">
        <f>SUMIFS('All Transactions'!$F$5:$F$436,'All Transactions'!$D$5:$D$436,$A57,'All Transactions'!$A$5:$A$436,D$4)</f>
        <v>22.41</v>
      </c>
      <c r="E57" s="3">
        <f>SUMIFS('All Transactions'!$F$5:$F$436,'All Transactions'!$D$5:$D$436,$A57,'All Transactions'!$A$5:$A$436,E$4)</f>
        <v>22.41</v>
      </c>
      <c r="F57" s="3">
        <f>SUM(B57:E57)</f>
        <v>89.64</v>
      </c>
      <c r="G57" s="3">
        <f>F57/4</f>
        <v>22.41</v>
      </c>
    </row>
    <row r="58">
      <c r="A58" s="12" t="inlineStr">
        <is>
          <t xml:space="preserve">Streaming – Netflix</t>
        </is>
      </c>
      <c r="B58" s="3">
        <f>SUMIFS('All Transactions'!$F$5:$F$436,'All Transactions'!$D$5:$D$436,$A58,'All Transactions'!$A$5:$A$436,B$4)</f>
        <v>0</v>
      </c>
      <c r="C58" s="3">
        <f>SUMIFS('All Transactions'!$F$5:$F$436,'All Transactions'!$D$5:$D$436,$A58,'All Transactions'!$A$5:$A$436,C$4)</f>
        <v>0</v>
      </c>
      <c r="D58" s="3">
        <f>SUMIFS('All Transactions'!$F$5:$F$436,'All Transactions'!$D$5:$D$436,$A58,'All Transactions'!$A$5:$A$436,D$4)</f>
        <v>0</v>
      </c>
      <c r="E58" s="3">
        <f>SUMIFS('All Transactions'!$F$5:$F$436,'All Transactions'!$D$5:$D$436,$A58,'All Transactions'!$A$5:$A$436,E$4)</f>
        <v>0</v>
      </c>
      <c r="F58" s="3">
        <f>SUM(B58:E58)</f>
        <v>0</v>
      </c>
      <c r="G58" s="3">
        <f>F58/4</f>
        <v>0.0</v>
      </c>
    </row>
    <row r="59">
      <c r="A59" s="7" t="inlineStr">
        <is>
          <t xml:space="preserve">Total Streaming</t>
        </is>
      </c>
      <c r="B59" s="6">
        <f>SUM(B51:B58)</f>
        <v>188.8</v>
      </c>
      <c r="C59" s="6">
        <f>SUM(C51:C58)</f>
        <v>201.6</v>
      </c>
      <c r="D59" s="6">
        <f>SUM(D51:D58)</f>
        <v>158.35</v>
      </c>
      <c r="E59" s="6">
        <f>SUM(E51:E58)</f>
        <v>188.98</v>
      </c>
      <c r="F59" s="6">
        <f>SUM(F51:F58)</f>
        <v>737.73</v>
      </c>
      <c r="G59" s="6">
        <f>F59/4</f>
        <v>184.4325</v>
      </c>
    </row>
    <row r="61">
      <c r="A61" s="5" t="inlineStr">
        <is>
          <t xml:space="preserve">Subscriptions</t>
        </is>
      </c>
    </row>
    <row r="62">
      <c r="A62" s="12" t="inlineStr">
        <is>
          <t xml:space="preserve">Software &amp; Online Subscriptions</t>
        </is>
      </c>
      <c r="B62" s="3">
        <f>SUMIFS('All Transactions'!$F$5:$F$436,'All Transactions'!$D$5:$D$436,$A62,'All Transactions'!$A$5:$A$436,B$4)</f>
        <v>141.73</v>
      </c>
      <c r="C62" s="3">
        <f>SUMIFS('All Transactions'!$F$5:$F$436,'All Transactions'!$D$5:$D$436,$A62,'All Transactions'!$A$5:$A$436,C$4)</f>
        <v>161.05</v>
      </c>
      <c r="D62" s="3">
        <f>SUMIFS('All Transactions'!$F$5:$F$436,'All Transactions'!$D$5:$D$436,$A62,'All Transactions'!$A$5:$A$436,D$4)</f>
        <v>65.98</v>
      </c>
      <c r="E62" s="3">
        <f>SUMIFS('All Transactions'!$F$5:$F$436,'All Transactions'!$D$5:$D$436,$A62,'All Transactions'!$A$5:$A$436,E$4)</f>
        <v>0</v>
      </c>
      <c r="F62" s="3">
        <f>SUM(B62:E62)</f>
        <v>368.76</v>
      </c>
      <c r="G62" s="3">
        <f>F62/4</f>
        <v>92.19</v>
      </c>
    </row>
    <row r="63">
      <c r="A63" s="7" t="inlineStr">
        <is>
          <t xml:space="preserve">Total Subscriptions</t>
        </is>
      </c>
      <c r="B63" s="6">
        <f>SUM(B62:B62)</f>
        <v>141.73</v>
      </c>
      <c r="C63" s="6">
        <f>SUM(C62:C62)</f>
        <v>161.05</v>
      </c>
      <c r="D63" s="6">
        <f>SUM(D62:D62)</f>
        <v>65.98</v>
      </c>
      <c r="E63" s="6">
        <f>SUM(E62:E62)</f>
        <v>0</v>
      </c>
      <c r="F63" s="6">
        <f>SUM(F62:F62)</f>
        <v>368.76</v>
      </c>
      <c r="G63" s="6">
        <f>F63/4</f>
        <v>92.19</v>
      </c>
    </row>
    <row r="65">
      <c r="A65" s="5" t="inlineStr">
        <is>
          <t xml:space="preserve">Health</t>
        </is>
      </c>
    </row>
    <row r="66">
      <c r="A66" s="12" t="inlineStr">
        <is>
          <t xml:space="preserve">CVS Pharmacy</t>
        </is>
      </c>
      <c r="B66" s="3">
        <f>SUMIFS('All Transactions'!$F$5:$F$436,'All Transactions'!$D$5:$D$436,$A66,'All Transactions'!$A$5:$A$436,B$4)</f>
        <v>160.07</v>
      </c>
      <c r="C66" s="3">
        <f>SUMIFS('All Transactions'!$F$5:$F$436,'All Transactions'!$D$5:$D$436,$A66,'All Transactions'!$A$5:$A$436,C$4)</f>
        <v>100.93</v>
      </c>
      <c r="D66" s="3">
        <f>SUMIFS('All Transactions'!$F$5:$F$436,'All Transactions'!$D$5:$D$436,$A66,'All Transactions'!$A$5:$A$436,D$4)</f>
        <v>383.24</v>
      </c>
      <c r="E66" s="3">
        <f>SUMIFS('All Transactions'!$F$5:$F$436,'All Transactions'!$D$5:$D$436,$A66,'All Transactions'!$A$5:$A$436,E$4)</f>
        <v>0</v>
      </c>
      <c r="F66" s="3">
        <f>SUM(B66:E66)</f>
        <v>644.24</v>
      </c>
      <c r="G66" s="3">
        <f>F66/4</f>
        <v>161.06</v>
      </c>
    </row>
    <row r="67">
      <c r="A67" s="12" t="inlineStr">
        <is>
          <t xml:space="preserve">Medical – Dosher Hospital (Southport)</t>
        </is>
      </c>
      <c r="B67" s="3">
        <f>SUMIFS('All Transactions'!$F$5:$F$436,'All Transactions'!$D$5:$D$436,$A67,'All Transactions'!$A$5:$A$436,B$4)</f>
        <v>0</v>
      </c>
      <c r="C67" s="3">
        <f>SUMIFS('All Transactions'!$F$5:$F$436,'All Transactions'!$D$5:$D$436,$A67,'All Transactions'!$A$5:$A$436,C$4)</f>
        <v>0</v>
      </c>
      <c r="D67" s="3">
        <f>SUMIFS('All Transactions'!$F$5:$F$436,'All Transactions'!$D$5:$D$436,$A67,'All Transactions'!$A$5:$A$436,D$4)</f>
        <v>467.66</v>
      </c>
      <c r="E67" s="3">
        <f>SUMIFS('All Transactions'!$F$5:$F$436,'All Transactions'!$D$5:$D$436,$A67,'All Transactions'!$A$5:$A$436,E$4)</f>
        <v>100.28</v>
      </c>
      <c r="F67" s="3">
        <f>SUM(B67:E67)</f>
        <v>567.94</v>
      </c>
      <c r="G67" s="3">
        <f>F67/4</f>
        <v>141.985</v>
      </c>
    </row>
    <row r="68">
      <c r="A68" s="12" t="inlineStr">
        <is>
          <t xml:space="preserve">Medical – Wilmington Eye</t>
        </is>
      </c>
      <c r="B68" s="3">
        <f>SUMIFS('All Transactions'!$F$5:$F$436,'All Transactions'!$D$5:$D$436,$A68,'All Transactions'!$A$5:$A$436,B$4)</f>
        <v>0</v>
      </c>
      <c r="C68" s="3">
        <f>SUMIFS('All Transactions'!$F$5:$F$436,'All Transactions'!$D$5:$D$436,$A68,'All Transactions'!$A$5:$A$436,C$4)</f>
        <v>0</v>
      </c>
      <c r="D68" s="3">
        <f>SUMIFS('All Transactions'!$F$5:$F$436,'All Transactions'!$D$5:$D$436,$A68,'All Transactions'!$A$5:$A$436,D$4)</f>
        <v>0</v>
      </c>
      <c r="E68" s="3">
        <f>SUMIFS('All Transactions'!$F$5:$F$436,'All Transactions'!$D$5:$D$436,$A68,'All Transactions'!$A$5:$A$436,E$4)</f>
        <v>60.0</v>
      </c>
      <c r="F68" s="3">
        <f>SUM(B68:E68)</f>
        <v>60.0</v>
      </c>
      <c r="G68" s="3">
        <f>F68/4</f>
        <v>15.0</v>
      </c>
    </row>
    <row r="69">
      <c r="A69" s="12" t="inlineStr">
        <is>
          <t xml:space="preserve">Medical – Granville Medical Center (Oxford)</t>
        </is>
      </c>
      <c r="B69" s="3">
        <f>SUMIFS('All Transactions'!$F$5:$F$436,'All Transactions'!$D$5:$D$436,$A69,'All Transactions'!$A$5:$A$436,B$4)</f>
        <v>0</v>
      </c>
      <c r="C69" s="3">
        <f>SUMIFS('All Transactions'!$F$5:$F$436,'All Transactions'!$D$5:$D$436,$A69,'All Transactions'!$A$5:$A$436,C$4)</f>
        <v>25.16</v>
      </c>
      <c r="D69" s="3">
        <f>SUMIFS('All Transactions'!$F$5:$F$436,'All Transactions'!$D$5:$D$436,$A69,'All Transactions'!$A$5:$A$436,D$4)</f>
        <v>0</v>
      </c>
      <c r="E69" s="3">
        <f>SUMIFS('All Transactions'!$F$5:$F$436,'All Transactions'!$D$5:$D$436,$A69,'All Transactions'!$A$5:$A$436,E$4)</f>
        <v>0</v>
      </c>
      <c r="F69" s="3">
        <f>SUM(B69:E69)</f>
        <v>25.16</v>
      </c>
      <c r="G69" s="3">
        <f>F69/4</f>
        <v>6.29</v>
      </c>
    </row>
    <row r="70">
      <c r="A70" s="12" t="inlineStr">
        <is>
          <t xml:space="preserve">Medical – Duke Hospital (Durham, food &amp; parking)</t>
        </is>
      </c>
      <c r="B70" s="3">
        <f>SUMIFS('All Transactions'!$F$5:$F$436,'All Transactions'!$D$5:$D$436,$A70,'All Transactions'!$A$5:$A$436,B$4)</f>
        <v>0</v>
      </c>
      <c r="C70" s="3">
        <f>SUMIFS('All Transactions'!$F$5:$F$436,'All Transactions'!$D$5:$D$436,$A70,'All Transactions'!$A$5:$A$436,C$4)</f>
        <v>0</v>
      </c>
      <c r="D70" s="3">
        <f>SUMIFS('All Transactions'!$F$5:$F$436,'All Transactions'!$D$5:$D$436,$A70,'All Transactions'!$A$5:$A$436,D$4)</f>
        <v>0</v>
      </c>
      <c r="E70" s="3">
        <f>SUMIFS('All Transactions'!$F$5:$F$436,'All Transactions'!$D$5:$D$436,$A70,'All Transactions'!$A$5:$A$436,E$4)</f>
        <v>14.75</v>
      </c>
      <c r="F70" s="3">
        <f>SUM(B70:E70)</f>
        <v>14.75</v>
      </c>
      <c r="G70" s="3">
        <f>F70/4</f>
        <v>3.6875</v>
      </c>
    </row>
    <row r="71">
      <c r="A71" s="7" t="inlineStr">
        <is>
          <t xml:space="preserve">Total Health</t>
        </is>
      </c>
      <c r="B71" s="6">
        <f>SUM(B66:B70)</f>
        <v>160.07</v>
      </c>
      <c r="C71" s="6">
        <f>SUM(C66:C70)</f>
        <v>126.09</v>
      </c>
      <c r="D71" s="6">
        <f>SUM(D66:D70)</f>
        <v>850.9</v>
      </c>
      <c r="E71" s="6">
        <f>SUM(E66:E70)</f>
        <v>175.03</v>
      </c>
      <c r="F71" s="6">
        <f>SUM(F66:F70)</f>
        <v>1312.09</v>
      </c>
      <c r="G71" s="6">
        <f>F71/4</f>
        <v>328.0225</v>
      </c>
    </row>
    <row r="73">
      <c r="A73" s="5" t="inlineStr">
        <is>
          <t xml:space="preserve">Personal</t>
        </is>
      </c>
    </row>
    <row r="74">
      <c r="A74" s="12" t="inlineStr">
        <is>
          <t xml:space="preserve">Haircuts – The Color Bar</t>
        </is>
      </c>
      <c r="B74" s="3">
        <f>SUMIFS('All Transactions'!$F$5:$F$436,'All Transactions'!$D$5:$D$436,$A74,'All Transactions'!$A$5:$A$436,B$4)</f>
        <v>182.5</v>
      </c>
      <c r="C74" s="3">
        <f>SUMIFS('All Transactions'!$F$5:$F$436,'All Transactions'!$D$5:$D$436,$A74,'All Transactions'!$A$5:$A$436,C$4)</f>
        <v>0</v>
      </c>
      <c r="D74" s="3">
        <f>SUMIFS('All Transactions'!$F$5:$F$436,'All Transactions'!$D$5:$D$436,$A74,'All Transactions'!$A$5:$A$436,D$4)</f>
        <v>182.5</v>
      </c>
      <c r="E74" s="3">
        <f>SUMIFS('All Transactions'!$F$5:$F$436,'All Transactions'!$D$5:$D$436,$A74,'All Transactions'!$A$5:$A$436,E$4)</f>
        <v>32.5</v>
      </c>
      <c r="F74" s="3">
        <f>SUM(B74:E74)</f>
        <v>397.5</v>
      </c>
      <c r="G74" s="3">
        <f>F74/4</f>
        <v>99.375</v>
      </c>
    </row>
    <row r="75">
      <c r="A75" s="12" t="inlineStr">
        <is>
          <t xml:space="preserve">Personal Care – Simple Beauty</t>
        </is>
      </c>
      <c r="B75" s="3">
        <f>SUMIFS('All Transactions'!$F$5:$F$436,'All Transactions'!$D$5:$D$436,$A75,'All Transactions'!$A$5:$A$436,B$4)</f>
        <v>0</v>
      </c>
      <c r="C75" s="3">
        <f>SUMIFS('All Transactions'!$F$5:$F$436,'All Transactions'!$D$5:$D$436,$A75,'All Transactions'!$A$5:$A$436,C$4)</f>
        <v>0</v>
      </c>
      <c r="D75" s="3">
        <f>SUMIFS('All Transactions'!$F$5:$F$436,'All Transactions'!$D$5:$D$436,$A75,'All Transactions'!$A$5:$A$436,D$4)</f>
        <v>0</v>
      </c>
      <c r="E75" s="3">
        <f>SUMIFS('All Transactions'!$F$5:$F$436,'All Transactions'!$D$5:$D$436,$A75,'All Transactions'!$A$5:$A$436,E$4)</f>
        <v>82.0</v>
      </c>
      <c r="F75" s="3">
        <f>SUM(B75:E75)</f>
        <v>82.0</v>
      </c>
      <c r="G75" s="3">
        <f>F75/4</f>
        <v>20.5</v>
      </c>
    </row>
    <row r="76">
      <c r="A76" s="7" t="inlineStr">
        <is>
          <t xml:space="preserve">Total Personal</t>
        </is>
      </c>
      <c r="B76" s="6">
        <f>SUM(B74:B75)</f>
        <v>182.5</v>
      </c>
      <c r="C76" s="6">
        <f>SUM(C74:C75)</f>
        <v>0</v>
      </c>
      <c r="D76" s="6">
        <f>SUM(D74:D75)</f>
        <v>182.5</v>
      </c>
      <c r="E76" s="6">
        <f>SUM(E74:E75)</f>
        <v>114.5</v>
      </c>
      <c r="F76" s="6">
        <f>SUM(F74:F75)</f>
        <v>479.5</v>
      </c>
      <c r="G76" s="6">
        <f>F76/4</f>
        <v>119.875</v>
      </c>
    </row>
    <row r="78">
      <c r="A78" s="5" t="inlineStr">
        <is>
          <t xml:space="preserve">Retail</t>
        </is>
      </c>
    </row>
    <row r="79">
      <c r="A79" s="12" t="inlineStr">
        <is>
          <t xml:space="preserve">Retail – Walmart</t>
        </is>
      </c>
      <c r="B79" s="3">
        <f>SUMIFS('All Transactions'!$F$5:$F$436,'All Transactions'!$D$5:$D$436,$A79,'All Transactions'!$A$5:$A$436,B$4)</f>
        <v>0</v>
      </c>
      <c r="C79" s="3">
        <f>SUMIFS('All Transactions'!$F$5:$F$436,'All Transactions'!$D$5:$D$436,$A79,'All Transactions'!$A$5:$A$436,C$4)</f>
        <v>132.66</v>
      </c>
      <c r="D79" s="3">
        <f>SUMIFS('All Transactions'!$F$5:$F$436,'All Transactions'!$D$5:$D$436,$A79,'All Transactions'!$A$5:$A$436,D$4)</f>
        <v>1732.6</v>
      </c>
      <c r="E79" s="3">
        <f>SUMIFS('All Transactions'!$F$5:$F$436,'All Transactions'!$D$5:$D$436,$A79,'All Transactions'!$A$5:$A$436,E$4)</f>
        <v>32.63</v>
      </c>
      <c r="F79" s="3">
        <f>SUM(B79:E79)</f>
        <v>1897.89</v>
      </c>
      <c r="G79" s="3">
        <f>F79/4</f>
        <v>474.4725</v>
      </c>
    </row>
    <row r="80">
      <c r="A80" s="12" t="inlineStr">
        <is>
          <t xml:space="preserve">Retail – Belk (store card payments)</t>
        </is>
      </c>
      <c r="B80" s="3">
        <f>SUMIFS('All Transactions'!$F$5:$F$436,'All Transactions'!$D$5:$D$436,$A80,'All Transactions'!$A$5:$A$436,B$4)</f>
        <v>386.69</v>
      </c>
      <c r="C80" s="3">
        <f>SUMIFS('All Transactions'!$F$5:$F$436,'All Transactions'!$D$5:$D$436,$A80,'All Transactions'!$A$5:$A$436,C$4)</f>
        <v>948.04</v>
      </c>
      <c r="D80" s="3">
        <f>SUMIFS('All Transactions'!$F$5:$F$436,'All Transactions'!$D$5:$D$436,$A80,'All Transactions'!$A$5:$A$436,D$4)</f>
        <v>0</v>
      </c>
      <c r="E80" s="3">
        <f>SUMIFS('All Transactions'!$F$5:$F$436,'All Transactions'!$D$5:$D$436,$A80,'All Transactions'!$A$5:$A$436,E$4)</f>
        <v>0</v>
      </c>
      <c r="F80" s="3">
        <f>SUM(B80:E80)</f>
        <v>1334.73</v>
      </c>
      <c r="G80" s="3">
        <f>F80/4</f>
        <v>333.6825</v>
      </c>
    </row>
    <row r="81">
      <c r="A81" s="12" t="inlineStr">
        <is>
          <t xml:space="preserve">Retail – Marshalls</t>
        </is>
      </c>
      <c r="B81" s="3">
        <f>SUMIFS('All Transactions'!$F$5:$F$436,'All Transactions'!$D$5:$D$436,$A81,'All Transactions'!$A$5:$A$436,B$4)</f>
        <v>0</v>
      </c>
      <c r="C81" s="3">
        <f>SUMIFS('All Transactions'!$F$5:$F$436,'All Transactions'!$D$5:$D$436,$A81,'All Transactions'!$A$5:$A$436,C$4)</f>
        <v>0</v>
      </c>
      <c r="D81" s="3">
        <f>SUMIFS('All Transactions'!$F$5:$F$436,'All Transactions'!$D$5:$D$436,$A81,'All Transactions'!$A$5:$A$436,D$4)</f>
        <v>0</v>
      </c>
      <c r="E81" s="3">
        <f>SUMIFS('All Transactions'!$F$5:$F$436,'All Transactions'!$D$5:$D$436,$A81,'All Transactions'!$A$5:$A$436,E$4)</f>
        <v>41.59</v>
      </c>
      <c r="F81" s="3">
        <f>SUM(B81:E81)</f>
        <v>41.59</v>
      </c>
      <c r="G81" s="3">
        <f>F81/4</f>
        <v>10.3975</v>
      </c>
    </row>
    <row r="82">
      <c r="A82" s="12" t="inlineStr">
        <is>
          <t xml:space="preserve">Retail – Ross</t>
        </is>
      </c>
      <c r="B82" s="3">
        <f>SUMIFS('All Transactions'!$F$5:$F$436,'All Transactions'!$D$5:$D$436,$A82,'All Transactions'!$A$5:$A$436,B$4)</f>
        <v>48.03</v>
      </c>
      <c r="C82" s="3">
        <f>SUMIFS('All Transactions'!$F$5:$F$436,'All Transactions'!$D$5:$D$436,$A82,'All Transactions'!$A$5:$A$436,C$4)</f>
        <v>0</v>
      </c>
      <c r="D82" s="3">
        <f>SUMIFS('All Transactions'!$F$5:$F$436,'All Transactions'!$D$5:$D$436,$A82,'All Transactions'!$A$5:$A$436,D$4)</f>
        <v>0</v>
      </c>
      <c r="E82" s="3">
        <f>SUMIFS('All Transactions'!$F$5:$F$436,'All Transactions'!$D$5:$D$436,$A82,'All Transactions'!$A$5:$A$436,E$4)</f>
        <v>16.32</v>
      </c>
      <c r="F82" s="3">
        <f>SUM(B82:E82)</f>
        <v>64.35</v>
      </c>
      <c r="G82" s="3">
        <f>F82/4</f>
        <v>16.0875</v>
      </c>
    </row>
    <row r="83">
      <c r="A83" s="12" t="inlineStr">
        <is>
          <t xml:space="preserve">Retail – Dillard's</t>
        </is>
      </c>
      <c r="B83" s="3">
        <f>SUMIFS('All Transactions'!$F$5:$F$436,'All Transactions'!$D$5:$D$436,$A83,'All Transactions'!$A$5:$A$436,B$4)</f>
        <v>0</v>
      </c>
      <c r="C83" s="3">
        <f>SUMIFS('All Transactions'!$F$5:$F$436,'All Transactions'!$D$5:$D$436,$A83,'All Transactions'!$A$5:$A$436,C$4)</f>
        <v>0</v>
      </c>
      <c r="D83" s="3">
        <f>SUMIFS('All Transactions'!$F$5:$F$436,'All Transactions'!$D$5:$D$436,$A83,'All Transactions'!$A$5:$A$436,D$4)</f>
        <v>174.74</v>
      </c>
      <c r="E83" s="3">
        <f>SUMIFS('All Transactions'!$F$5:$F$436,'All Transactions'!$D$5:$D$436,$A83,'All Transactions'!$A$5:$A$436,E$4)</f>
        <v>0</v>
      </c>
      <c r="F83" s="3">
        <f>SUM(B83:E83)</f>
        <v>174.74</v>
      </c>
      <c r="G83" s="3">
        <f>F83/4</f>
        <v>43.685</v>
      </c>
    </row>
    <row r="84">
      <c r="A84" s="12" t="inlineStr">
        <is>
          <t xml:space="preserve">Retail – Target</t>
        </is>
      </c>
      <c r="B84" s="3">
        <f>SUMIFS('All Transactions'!$F$5:$F$436,'All Transactions'!$D$5:$D$436,$A84,'All Transactions'!$A$5:$A$436,B$4)</f>
        <v>58.98</v>
      </c>
      <c r="C84" s="3">
        <f>SUMIFS('All Transactions'!$F$5:$F$436,'All Transactions'!$D$5:$D$436,$A84,'All Transactions'!$A$5:$A$436,C$4)</f>
        <v>0</v>
      </c>
      <c r="D84" s="3">
        <f>SUMIFS('All Transactions'!$F$5:$F$436,'All Transactions'!$D$5:$D$436,$A84,'All Transactions'!$A$5:$A$436,D$4)</f>
        <v>0</v>
      </c>
      <c r="E84" s="3">
        <f>SUMIFS('All Transactions'!$F$5:$F$436,'All Transactions'!$D$5:$D$436,$A84,'All Transactions'!$A$5:$A$436,E$4)</f>
        <v>0</v>
      </c>
      <c r="F84" s="3">
        <f>SUM(B84:E84)</f>
        <v>58.98</v>
      </c>
      <c r="G84" s="3">
        <f>F84/4</f>
        <v>14.745</v>
      </c>
    </row>
    <row r="85">
      <c r="A85" s="12" t="inlineStr">
        <is>
          <t xml:space="preserve">Retail – HomeSense</t>
        </is>
      </c>
      <c r="B85" s="3">
        <f>SUMIFS('All Transactions'!$F$5:$F$436,'All Transactions'!$D$5:$D$436,$A85,'All Transactions'!$A$5:$A$436,B$4)</f>
        <v>0</v>
      </c>
      <c r="C85" s="3">
        <f>SUMIFS('All Transactions'!$F$5:$F$436,'All Transactions'!$D$5:$D$436,$A85,'All Transactions'!$A$5:$A$436,C$4)</f>
        <v>0</v>
      </c>
      <c r="D85" s="3">
        <f>SUMIFS('All Transactions'!$F$5:$F$436,'All Transactions'!$D$5:$D$436,$A85,'All Transactions'!$A$5:$A$436,D$4)</f>
        <v>88.7</v>
      </c>
      <c r="E85" s="3">
        <f>SUMIFS('All Transactions'!$F$5:$F$436,'All Transactions'!$D$5:$D$436,$A85,'All Transactions'!$A$5:$A$436,E$4)</f>
        <v>0</v>
      </c>
      <c r="F85" s="3">
        <f>SUM(B85:E85)</f>
        <v>88.7</v>
      </c>
      <c r="G85" s="3">
        <f>F85/4</f>
        <v>22.175</v>
      </c>
    </row>
    <row r="86">
      <c r="A86" s="12" t="inlineStr">
        <is>
          <t xml:space="preserve">Retail – Hobby Lobby</t>
        </is>
      </c>
      <c r="B86" s="3">
        <f>SUMIFS('All Transactions'!$F$5:$F$436,'All Transactions'!$D$5:$D$436,$A86,'All Transactions'!$A$5:$A$436,B$4)</f>
        <v>0</v>
      </c>
      <c r="C86" s="3">
        <f>SUMIFS('All Transactions'!$F$5:$F$436,'All Transactions'!$D$5:$D$436,$A86,'All Transactions'!$A$5:$A$436,C$4)</f>
        <v>0</v>
      </c>
      <c r="D86" s="3">
        <f>SUMIFS('All Transactions'!$F$5:$F$436,'All Transactions'!$D$5:$D$436,$A86,'All Transactions'!$A$5:$A$436,D$4)</f>
        <v>165.67</v>
      </c>
      <c r="E86" s="3">
        <f>SUMIFS('All Transactions'!$F$5:$F$436,'All Transactions'!$D$5:$D$436,$A86,'All Transactions'!$A$5:$A$436,E$4)</f>
        <v>37.33</v>
      </c>
      <c r="F86" s="3">
        <f>SUM(B86:E86)</f>
        <v>203.0</v>
      </c>
      <c r="G86" s="3">
        <f>F86/4</f>
        <v>50.75</v>
      </c>
    </row>
    <row r="87">
      <c r="A87" s="12" t="inlineStr">
        <is>
          <t xml:space="preserve">Retail – Lowe's (home improvement)</t>
        </is>
      </c>
      <c r="B87" s="3">
        <f>SUMIFS('All Transactions'!$F$5:$F$436,'All Transactions'!$D$5:$D$436,$A87,'All Transactions'!$A$5:$A$436,B$4)</f>
        <v>27.67</v>
      </c>
      <c r="C87" s="3">
        <f>SUMIFS('All Transactions'!$F$5:$F$436,'All Transactions'!$D$5:$D$436,$A87,'All Transactions'!$A$5:$A$436,C$4)</f>
        <v>0</v>
      </c>
      <c r="D87" s="3">
        <f>SUMIFS('All Transactions'!$F$5:$F$436,'All Transactions'!$D$5:$D$436,$A87,'All Transactions'!$A$5:$A$436,D$4)</f>
        <v>171.55</v>
      </c>
      <c r="E87" s="3">
        <f>SUMIFS('All Transactions'!$F$5:$F$436,'All Transactions'!$D$5:$D$436,$A87,'All Transactions'!$A$5:$A$436,E$4)</f>
        <v>85.27</v>
      </c>
      <c r="F87" s="3">
        <f>SUM(B87:E87)</f>
        <v>284.49</v>
      </c>
      <c r="G87" s="3">
        <f>F87/4</f>
        <v>71.1225</v>
      </c>
    </row>
    <row r="88">
      <c r="A88" s="12" t="inlineStr">
        <is>
          <t xml:space="preserve">Retail – Cat on a Whisk</t>
        </is>
      </c>
      <c r="B88" s="3">
        <f>SUMIFS('All Transactions'!$F$5:$F$436,'All Transactions'!$D$5:$D$436,$A88,'All Transactions'!$A$5:$A$436,B$4)</f>
        <v>0</v>
      </c>
      <c r="C88" s="3">
        <f>SUMIFS('All Transactions'!$F$5:$F$436,'All Transactions'!$D$5:$D$436,$A88,'All Transactions'!$A$5:$A$436,C$4)</f>
        <v>0</v>
      </c>
      <c r="D88" s="3">
        <f>SUMIFS('All Transactions'!$F$5:$F$436,'All Transactions'!$D$5:$D$436,$A88,'All Transactions'!$A$5:$A$436,D$4)</f>
        <v>0</v>
      </c>
      <c r="E88" s="3">
        <f>SUMIFS('All Transactions'!$F$5:$F$436,'All Transactions'!$D$5:$D$436,$A88,'All Transactions'!$A$5:$A$436,E$4)</f>
        <v>24.51</v>
      </c>
      <c r="F88" s="3">
        <f>SUM(B88:E88)</f>
        <v>24.51</v>
      </c>
      <c r="G88" s="3">
        <f>F88/4</f>
        <v>6.1275</v>
      </c>
    </row>
    <row r="89">
      <c r="A89" s="12" t="inlineStr">
        <is>
          <t xml:space="preserve">Retail – Tractor Supply</t>
        </is>
      </c>
      <c r="B89" s="3">
        <f>SUMIFS('All Transactions'!$F$5:$F$436,'All Transactions'!$D$5:$D$436,$A89,'All Transactions'!$A$5:$A$436,B$4)</f>
        <v>0</v>
      </c>
      <c r="C89" s="3">
        <f>SUMIFS('All Transactions'!$F$5:$F$436,'All Transactions'!$D$5:$D$436,$A89,'All Transactions'!$A$5:$A$436,C$4)</f>
        <v>0</v>
      </c>
      <c r="D89" s="3">
        <f>SUMIFS('All Transactions'!$F$5:$F$436,'All Transactions'!$D$5:$D$436,$A89,'All Transactions'!$A$5:$A$436,D$4)</f>
        <v>29.86</v>
      </c>
      <c r="E89" s="3">
        <f>SUMIFS('All Transactions'!$F$5:$F$436,'All Transactions'!$D$5:$D$436,$A89,'All Transactions'!$A$5:$A$436,E$4)</f>
        <v>0</v>
      </c>
      <c r="F89" s="3">
        <f>SUM(B89:E89)</f>
        <v>29.86</v>
      </c>
      <c r="G89" s="3">
        <f>F89/4</f>
        <v>7.465</v>
      </c>
    </row>
    <row r="90">
      <c r="A90" s="12" t="inlineStr">
        <is>
          <t xml:space="preserve">Retail – Dick's Sporting Goods</t>
        </is>
      </c>
      <c r="B90" s="3">
        <f>SUMIFS('All Transactions'!$F$5:$F$436,'All Transactions'!$D$5:$D$436,$A90,'All Transactions'!$A$5:$A$436,B$4)</f>
        <v>0</v>
      </c>
      <c r="C90" s="3">
        <f>SUMIFS('All Transactions'!$F$5:$F$436,'All Transactions'!$D$5:$D$436,$A90,'All Transactions'!$A$5:$A$436,C$4)</f>
        <v>63.61</v>
      </c>
      <c r="D90" s="3">
        <f>SUMIFS('All Transactions'!$F$5:$F$436,'All Transactions'!$D$5:$D$436,$A90,'All Transactions'!$A$5:$A$436,D$4)</f>
        <v>0</v>
      </c>
      <c r="E90" s="3">
        <f>SUMIFS('All Transactions'!$F$5:$F$436,'All Transactions'!$D$5:$D$436,$A90,'All Transactions'!$A$5:$A$436,E$4)</f>
        <v>0</v>
      </c>
      <c r="F90" s="3">
        <f>SUM(B90:E90)</f>
        <v>63.61</v>
      </c>
      <c r="G90" s="3">
        <f>F90/4</f>
        <v>15.9025</v>
      </c>
    </row>
    <row r="91">
      <c r="A91" s="12" t="inlineStr">
        <is>
          <t xml:space="preserve">Retail – Ulta Beauty</t>
        </is>
      </c>
      <c r="B91" s="3">
        <f>SUMIFS('All Transactions'!$F$5:$F$436,'All Transactions'!$D$5:$D$436,$A91,'All Transactions'!$A$5:$A$436,B$4)</f>
        <v>134.71</v>
      </c>
      <c r="C91" s="3">
        <f>SUMIFS('All Transactions'!$F$5:$F$436,'All Transactions'!$D$5:$D$436,$A91,'All Transactions'!$A$5:$A$436,C$4)</f>
        <v>0</v>
      </c>
      <c r="D91" s="3">
        <f>SUMIFS('All Transactions'!$F$5:$F$436,'All Transactions'!$D$5:$D$436,$A91,'All Transactions'!$A$5:$A$436,D$4)</f>
        <v>0</v>
      </c>
      <c r="E91" s="3">
        <f>SUMIFS('All Transactions'!$F$5:$F$436,'All Transactions'!$D$5:$D$436,$A91,'All Transactions'!$A$5:$A$436,E$4)</f>
        <v>0</v>
      </c>
      <c r="F91" s="3">
        <f>SUM(B91:E91)</f>
        <v>134.71</v>
      </c>
      <c r="G91" s="3">
        <f>F91/4</f>
        <v>33.6775</v>
      </c>
    </row>
    <row r="92">
      <c r="A92" s="12" t="inlineStr">
        <is>
          <t xml:space="preserve">Retail – Bath &amp; Body Works</t>
        </is>
      </c>
      <c r="B92" s="3">
        <f>SUMIFS('All Transactions'!$F$5:$F$436,'All Transactions'!$D$5:$D$436,$A92,'All Transactions'!$A$5:$A$436,B$4)</f>
        <v>51.31</v>
      </c>
      <c r="C92" s="3">
        <f>SUMIFS('All Transactions'!$F$5:$F$436,'All Transactions'!$D$5:$D$436,$A92,'All Transactions'!$A$5:$A$436,C$4)</f>
        <v>0</v>
      </c>
      <c r="D92" s="3">
        <f>SUMIFS('All Transactions'!$F$5:$F$436,'All Transactions'!$D$5:$D$436,$A92,'All Transactions'!$A$5:$A$436,D$4)</f>
        <v>0</v>
      </c>
      <c r="E92" s="3">
        <f>SUMIFS('All Transactions'!$F$5:$F$436,'All Transactions'!$D$5:$D$436,$A92,'All Transactions'!$A$5:$A$436,E$4)</f>
        <v>0</v>
      </c>
      <c r="F92" s="3">
        <f>SUM(B92:E92)</f>
        <v>51.31</v>
      </c>
      <c r="G92" s="3">
        <f>F92/4</f>
        <v>12.8275</v>
      </c>
    </row>
    <row r="93">
      <c r="A93" s="12" t="inlineStr">
        <is>
          <t xml:space="preserve">Retail – Dollar Tree / Dollar General</t>
        </is>
      </c>
      <c r="B93" s="3">
        <f>SUMIFS('All Transactions'!$F$5:$F$436,'All Transactions'!$D$5:$D$436,$A93,'All Transactions'!$A$5:$A$436,B$4)</f>
        <v>0</v>
      </c>
      <c r="C93" s="3">
        <f>SUMIFS('All Transactions'!$F$5:$F$436,'All Transactions'!$D$5:$D$436,$A93,'All Transactions'!$A$5:$A$436,C$4)</f>
        <v>5.87</v>
      </c>
      <c r="D93" s="3">
        <f>SUMIFS('All Transactions'!$F$5:$F$436,'All Transactions'!$D$5:$D$436,$A93,'All Transactions'!$A$5:$A$436,D$4)</f>
        <v>17.35</v>
      </c>
      <c r="E93" s="3">
        <f>SUMIFS('All Transactions'!$F$5:$F$436,'All Transactions'!$D$5:$D$436,$A93,'All Transactions'!$A$5:$A$436,E$4)</f>
        <v>0</v>
      </c>
      <c r="F93" s="3">
        <f>SUM(B93:E93)</f>
        <v>23.22</v>
      </c>
      <c r="G93" s="3">
        <f>F93/4</f>
        <v>5.805</v>
      </c>
    </row>
    <row r="94">
      <c r="A94" s="12" t="inlineStr">
        <is>
          <t xml:space="preserve">Retail – Local shops (Hippie Chick, Southport Spices, Mad River, Coastal Carolina)</t>
        </is>
      </c>
      <c r="B94" s="3">
        <f>SUMIFS('All Transactions'!$F$5:$F$436,'All Transactions'!$D$5:$D$436,$A94,'All Transactions'!$A$5:$A$436,B$4)</f>
        <v>108.03</v>
      </c>
      <c r="C94" s="3">
        <f>SUMIFS('All Transactions'!$F$5:$F$436,'All Transactions'!$D$5:$D$436,$A94,'All Transactions'!$A$5:$A$436,C$4)</f>
        <v>0</v>
      </c>
      <c r="D94" s="3">
        <f>SUMIFS('All Transactions'!$F$5:$F$436,'All Transactions'!$D$5:$D$436,$A94,'All Transactions'!$A$5:$A$436,D$4)</f>
        <v>0</v>
      </c>
      <c r="E94" s="3">
        <f>SUMIFS('All Transactions'!$F$5:$F$436,'All Transactions'!$D$5:$D$436,$A94,'All Transactions'!$A$5:$A$436,E$4)</f>
        <v>119.97</v>
      </c>
      <c r="F94" s="3">
        <f>SUM(B94:E94)</f>
        <v>228.0</v>
      </c>
      <c r="G94" s="3">
        <f>F94/4</f>
        <v>57.0</v>
      </c>
    </row>
    <row r="95">
      <c r="A95" s="7" t="inlineStr">
        <is>
          <t xml:space="preserve">Total Retail</t>
        </is>
      </c>
      <c r="B95" s="6">
        <f>SUM(B79:B94)</f>
        <v>815.42</v>
      </c>
      <c r="C95" s="6">
        <f>SUM(C79:C94)</f>
        <v>1150.18</v>
      </c>
      <c r="D95" s="6">
        <f>SUM(D79:D94)</f>
        <v>2380.47</v>
      </c>
      <c r="E95" s="6">
        <f>SUM(E79:E94)</f>
        <v>357.62</v>
      </c>
      <c r="F95" s="6">
        <f>SUM(F79:F94)</f>
        <v>4703.69</v>
      </c>
      <c r="G95" s="6">
        <f>F95/4</f>
        <v>1175.9225</v>
      </c>
    </row>
    <row r="97">
      <c r="A97" s="5" t="inlineStr">
        <is>
          <t xml:space="preserve">Home</t>
        </is>
      </c>
    </row>
    <row r="98">
      <c r="A98" s="12" t="inlineStr">
        <is>
          <t xml:space="preserve">Yard Company (NextGen)</t>
        </is>
      </c>
      <c r="B98" s="3">
        <f>SUMIFS('All Transactions'!$F$5:$F$436,'All Transactions'!$D$5:$D$436,$A98,'All Transactions'!$A$5:$A$436,B$4)</f>
        <v>60.0</v>
      </c>
      <c r="C98" s="3">
        <f>SUMIFS('All Transactions'!$F$5:$F$436,'All Transactions'!$D$5:$D$436,$A98,'All Transactions'!$A$5:$A$436,C$4)</f>
        <v>100.0</v>
      </c>
      <c r="D98" s="3">
        <f>SUMIFS('All Transactions'!$F$5:$F$436,'All Transactions'!$D$5:$D$436,$A98,'All Transactions'!$A$5:$A$436,D$4)</f>
        <v>220.0</v>
      </c>
      <c r="E98" s="3">
        <f>SUMIFS('All Transactions'!$F$5:$F$436,'All Transactions'!$D$5:$D$436,$A98,'All Transactions'!$A$5:$A$436,E$4)</f>
        <v>120.0</v>
      </c>
      <c r="F98" s="3">
        <f>SUM(B98:E98)</f>
        <v>500.0</v>
      </c>
      <c r="G98" s="3">
        <f>F98/4</f>
        <v>125.0</v>
      </c>
    </row>
    <row r="99">
      <c r="A99" s="12" t="inlineStr">
        <is>
          <t xml:space="preserve">Home Services (Pest Control, Lawn Treatment)</t>
        </is>
      </c>
      <c r="B99" s="3">
        <f>SUMIFS('All Transactions'!$F$5:$F$436,'All Transactions'!$D$5:$D$436,$A99,'All Transactions'!$A$5:$A$436,B$4)</f>
        <v>0</v>
      </c>
      <c r="C99" s="3">
        <f>SUMIFS('All Transactions'!$F$5:$F$436,'All Transactions'!$D$5:$D$436,$A99,'All Transactions'!$A$5:$A$436,C$4)</f>
        <v>142.05</v>
      </c>
      <c r="D99" s="3">
        <f>SUMIFS('All Transactions'!$F$5:$F$436,'All Transactions'!$D$5:$D$436,$A99,'All Transactions'!$A$5:$A$436,D$4)</f>
        <v>104.0</v>
      </c>
      <c r="E99" s="3">
        <f>SUMIFS('All Transactions'!$F$5:$F$436,'All Transactions'!$D$5:$D$436,$A99,'All Transactions'!$A$5:$A$436,E$4)</f>
        <v>0</v>
      </c>
      <c r="F99" s="3">
        <f>SUM(B99:E99)</f>
        <v>246.05</v>
      </c>
      <c r="G99" s="3">
        <f>F99/4</f>
        <v>61.5125</v>
      </c>
    </row>
    <row r="100">
      <c r="A100" s="7" t="inlineStr">
        <is>
          <t xml:space="preserve">Total Home</t>
        </is>
      </c>
      <c r="B100" s="6">
        <f>SUM(B98:B99)</f>
        <v>60.0</v>
      </c>
      <c r="C100" s="6">
        <f>SUM(C98:C99)</f>
        <v>242.05</v>
      </c>
      <c r="D100" s="6">
        <f>SUM(D98:D99)</f>
        <v>324.0</v>
      </c>
      <c r="E100" s="6">
        <f>SUM(E98:E99)</f>
        <v>120.0</v>
      </c>
      <c r="F100" s="6">
        <f>SUM(F98:F99)</f>
        <v>746.05</v>
      </c>
      <c r="G100" s="6">
        <f>F100/4</f>
        <v>186.5125</v>
      </c>
    </row>
    <row r="102">
      <c r="A102" s="5" t="inlineStr">
        <is>
          <t xml:space="preserve">Travel</t>
        </is>
      </c>
    </row>
    <row r="103">
      <c r="A103" s="12" t="inlineStr">
        <is>
          <t xml:space="preserve">Travel (Lyft, Hotel)</t>
        </is>
      </c>
      <c r="B103" s="3">
        <f>SUMIFS('All Transactions'!$F$5:$F$436,'All Transactions'!$D$5:$D$436,$A103,'All Transactions'!$A$5:$A$436,B$4)</f>
        <v>102.65</v>
      </c>
      <c r="C103" s="3">
        <f>SUMIFS('All Transactions'!$F$5:$F$436,'All Transactions'!$D$5:$D$436,$A103,'All Transactions'!$A$5:$A$436,C$4)</f>
        <v>0</v>
      </c>
      <c r="D103" s="3">
        <f>SUMIFS('All Transactions'!$F$5:$F$436,'All Transactions'!$D$5:$D$436,$A103,'All Transactions'!$A$5:$A$436,D$4)</f>
        <v>0</v>
      </c>
      <c r="E103" s="3">
        <f>SUMIFS('All Transactions'!$F$5:$F$436,'All Transactions'!$D$5:$D$436,$A103,'All Transactions'!$A$5:$A$436,E$4)</f>
        <v>0</v>
      </c>
      <c r="F103" s="3">
        <f>SUM(B103:E103)</f>
        <v>102.65</v>
      </c>
      <c r="G103" s="3">
        <f>F103/4</f>
        <v>25.6625</v>
      </c>
    </row>
    <row r="104">
      <c r="A104" s="7" t="inlineStr">
        <is>
          <t xml:space="preserve">Total Travel</t>
        </is>
      </c>
      <c r="B104" s="6">
        <f>SUM(B103:B103)</f>
        <v>102.65</v>
      </c>
      <c r="C104" s="6">
        <f>SUM(C103:C103)</f>
        <v>0</v>
      </c>
      <c r="D104" s="6">
        <f>SUM(D103:D103)</f>
        <v>0</v>
      </c>
      <c r="E104" s="6">
        <f>SUM(E103:E103)</f>
        <v>0</v>
      </c>
      <c r="F104" s="6">
        <f>SUM(F103:F103)</f>
        <v>102.65</v>
      </c>
      <c r="G104" s="6">
        <f>F104/4</f>
        <v>25.6625</v>
      </c>
    </row>
    <row r="106">
      <c r="A106" s="5" t="inlineStr">
        <is>
          <t xml:space="preserve">Recreation</t>
        </is>
      </c>
    </row>
    <row r="107">
      <c r="A107" s="12" t="inlineStr">
        <is>
          <t xml:space="preserve">St. James Marina</t>
        </is>
      </c>
      <c r="B107" s="3">
        <f>SUMIFS('All Transactions'!$F$5:$F$436,'All Transactions'!$D$5:$D$436,$A107,'All Transactions'!$A$5:$A$436,B$4)</f>
        <v>0</v>
      </c>
      <c r="C107" s="3">
        <f>SUMIFS('All Transactions'!$F$5:$F$436,'All Transactions'!$D$5:$D$436,$A107,'All Transactions'!$A$5:$A$436,C$4)</f>
        <v>33.54</v>
      </c>
      <c r="D107" s="3">
        <f>SUMIFS('All Transactions'!$F$5:$F$436,'All Transactions'!$D$5:$D$436,$A107,'All Transactions'!$A$5:$A$436,D$4)</f>
        <v>0</v>
      </c>
      <c r="E107" s="3">
        <f>SUMIFS('All Transactions'!$F$5:$F$436,'All Transactions'!$D$5:$D$436,$A107,'All Transactions'!$A$5:$A$436,E$4)</f>
        <v>0</v>
      </c>
      <c r="F107" s="3">
        <f>SUM(B107:E107)</f>
        <v>33.54</v>
      </c>
      <c r="G107" s="3">
        <f>F107/4</f>
        <v>8.385</v>
      </c>
    </row>
    <row r="108">
      <c r="A108" s="12" t="inlineStr">
        <is>
          <t xml:space="preserve">Entertainment (Surf Cinema)</t>
        </is>
      </c>
      <c r="B108" s="3">
        <f>SUMIFS('All Transactions'!$F$5:$F$436,'All Transactions'!$D$5:$D$436,$A108,'All Transactions'!$A$5:$A$436,B$4)</f>
        <v>0</v>
      </c>
      <c r="C108" s="3">
        <f>SUMIFS('All Transactions'!$F$5:$F$436,'All Transactions'!$D$5:$D$436,$A108,'All Transactions'!$A$5:$A$436,C$4)</f>
        <v>0</v>
      </c>
      <c r="D108" s="3">
        <f>SUMIFS('All Transactions'!$F$5:$F$436,'All Transactions'!$D$5:$D$436,$A108,'All Transactions'!$A$5:$A$436,D$4)</f>
        <v>13.5</v>
      </c>
      <c r="E108" s="3">
        <f>SUMIFS('All Transactions'!$F$5:$F$436,'All Transactions'!$D$5:$D$436,$A108,'All Transactions'!$A$5:$A$436,E$4)</f>
        <v>0</v>
      </c>
      <c r="F108" s="3">
        <f>SUM(B108:E108)</f>
        <v>13.5</v>
      </c>
      <c r="G108" s="3">
        <f>F108/4</f>
        <v>3.375</v>
      </c>
    </row>
    <row r="109">
      <c r="A109" s="7" t="inlineStr">
        <is>
          <t xml:space="preserve">Total Recreation</t>
        </is>
      </c>
      <c r="B109" s="6">
        <f>SUM(B107:B108)</f>
        <v>0</v>
      </c>
      <c r="C109" s="6">
        <f>SUM(C107:C108)</f>
        <v>33.54</v>
      </c>
      <c r="D109" s="6">
        <f>SUM(D107:D108)</f>
        <v>13.5</v>
      </c>
      <c r="E109" s="6">
        <f>SUM(E107:E108)</f>
        <v>0</v>
      </c>
      <c r="F109" s="6">
        <f>SUM(F107:F108)</f>
        <v>47.04</v>
      </c>
      <c r="G109" s="6">
        <f>F109/4</f>
        <v>11.76</v>
      </c>
    </row>
    <row r="111">
      <c r="A111" s="5" t="inlineStr">
        <is>
          <t xml:space="preserve">Transfers</t>
        </is>
      </c>
    </row>
    <row r="112">
      <c r="A112" s="12" t="inlineStr">
        <is>
          <t xml:space="preserve">Transfers to People (Venmo/Zelle)</t>
        </is>
      </c>
      <c r="B112" s="3">
        <f>SUMIFS('All Transactions'!$F$5:$F$436,'All Transactions'!$D$5:$D$436,$A112,'All Transactions'!$A$5:$A$436,B$4)</f>
        <v>75.0</v>
      </c>
      <c r="C112" s="3">
        <f>SUMIFS('All Transactions'!$F$5:$F$436,'All Transactions'!$D$5:$D$436,$A112,'All Transactions'!$A$5:$A$436,C$4)</f>
        <v>764.05</v>
      </c>
      <c r="D112" s="3">
        <f>SUMIFS('All Transactions'!$F$5:$F$436,'All Transactions'!$D$5:$D$436,$A112,'All Transactions'!$A$5:$A$436,D$4)</f>
        <v>331.5</v>
      </c>
      <c r="E112" s="3">
        <f>SUMIFS('All Transactions'!$F$5:$F$436,'All Transactions'!$D$5:$D$436,$A112,'All Transactions'!$A$5:$A$436,E$4)</f>
        <v>130.0</v>
      </c>
      <c r="F112" s="3">
        <f>SUM(B112:E112)</f>
        <v>1300.55</v>
      </c>
      <c r="G112" s="3">
        <f>F112/4</f>
        <v>325.1375</v>
      </c>
    </row>
    <row r="113">
      <c r="A113" s="7" t="inlineStr">
        <is>
          <t xml:space="preserve">Total Transfers</t>
        </is>
      </c>
      <c r="B113" s="6">
        <f>SUM(B112:B112)</f>
        <v>75.0</v>
      </c>
      <c r="C113" s="6">
        <f>SUM(C112:C112)</f>
        <v>764.05</v>
      </c>
      <c r="D113" s="6">
        <f>SUM(D112:D112)</f>
        <v>331.5</v>
      </c>
      <c r="E113" s="6">
        <f>SUM(E112:E112)</f>
        <v>130.0</v>
      </c>
      <c r="F113" s="6">
        <f>SUM(F112:F112)</f>
        <v>1300.55</v>
      </c>
      <c r="G113" s="6">
        <f>F113/4</f>
        <v>325.1375</v>
      </c>
    </row>
    <row r="115">
      <c r="A115" s="5" t="inlineStr">
        <is>
          <t xml:space="preserve">Other</t>
        </is>
      </c>
    </row>
    <row r="116">
      <c r="A116" s="12" t="inlineStr">
        <is>
          <t xml:space="preserve">Donations &amp; Clubs (Kiwanis)</t>
        </is>
      </c>
      <c r="B116" s="3">
        <f>SUMIFS('All Transactions'!$F$5:$F$436,'All Transactions'!$D$5:$D$436,$A116,'All Transactions'!$A$5:$A$436,B$4)</f>
        <v>0</v>
      </c>
      <c r="C116" s="3">
        <f>SUMIFS('All Transactions'!$F$5:$F$436,'All Transactions'!$D$5:$D$436,$A116,'All Transactions'!$A$5:$A$436,C$4)</f>
        <v>0</v>
      </c>
      <c r="D116" s="3">
        <f>SUMIFS('All Transactions'!$F$5:$F$436,'All Transactions'!$D$5:$D$436,$A116,'All Transactions'!$A$5:$A$436,D$4)</f>
        <v>0</v>
      </c>
      <c r="E116" s="3">
        <f>SUMIFS('All Transactions'!$F$5:$F$436,'All Transactions'!$D$5:$D$436,$A116,'All Transactions'!$A$5:$A$436,E$4)</f>
        <v>200.0</v>
      </c>
      <c r="F116" s="3">
        <f>SUM(B116:E116)</f>
        <v>200.0</v>
      </c>
      <c r="G116" s="3">
        <f>F116/4</f>
        <v>50.0</v>
      </c>
    </row>
    <row r="117">
      <c r="A117" s="12" t="inlineStr">
        <is>
          <t xml:space="preserve">Cash (ATM) &amp; Bank Fees</t>
        </is>
      </c>
      <c r="B117" s="3">
        <f>SUMIFS('All Transactions'!$F$5:$F$436,'All Transactions'!$D$5:$D$436,$A117,'All Transactions'!$A$5:$A$436,B$4)</f>
        <v>0</v>
      </c>
      <c r="C117" s="3">
        <f>SUMIFS('All Transactions'!$F$5:$F$436,'All Transactions'!$D$5:$D$436,$A117,'All Transactions'!$A$5:$A$436,C$4)</f>
        <v>0</v>
      </c>
      <c r="D117" s="3">
        <f>SUMIFS('All Transactions'!$F$5:$F$436,'All Transactions'!$D$5:$D$436,$A117,'All Transactions'!$A$5:$A$436,D$4)</f>
        <v>0</v>
      </c>
      <c r="E117" s="3">
        <f>SUMIFS('All Transactions'!$F$5:$F$436,'All Transactions'!$D$5:$D$436,$A117,'All Transactions'!$A$5:$A$436,E$4)</f>
        <v>147.0</v>
      </c>
      <c r="F117" s="3">
        <f>SUM(B117:E117)</f>
        <v>147.0</v>
      </c>
      <c r="G117" s="3">
        <f>F117/4</f>
        <v>36.75</v>
      </c>
    </row>
    <row r="118">
      <c r="A118" s="7" t="inlineStr">
        <is>
          <t xml:space="preserve">Total Other</t>
        </is>
      </c>
      <c r="B118" s="6">
        <f>SUM(B116:B117)</f>
        <v>0</v>
      </c>
      <c r="C118" s="6">
        <f>SUM(C116:C117)</f>
        <v>0</v>
      </c>
      <c r="D118" s="6">
        <f>SUM(D116:D117)</f>
        <v>0</v>
      </c>
      <c r="E118" s="6">
        <f>SUM(E116:E117)</f>
        <v>347.0</v>
      </c>
      <c r="F118" s="6">
        <f>SUM(F116:F117)</f>
        <v>347.0</v>
      </c>
      <c r="G118" s="6">
        <f>F118/4</f>
        <v>86.75</v>
      </c>
    </row>
    <row r="120">
      <c r="A120" s="8" t="inlineStr">
        <is>
          <t xml:space="preserve">TOTAL SPENDING</t>
        </is>
      </c>
      <c r="B120" s="9">
        <f>B10+B18+B23+B28+B32+B38+B43+B48+B59+B63+B71+B76+B95+B100+B104+B109+B113+B118</f>
        <v>12135.81</v>
      </c>
      <c r="C120" s="9">
        <f>C10+C18+C23+C28+C32+C38+C43+C48+C59+C63+C71+C76+C95+C100+C104+C109+C113+C118</f>
        <v>12163.24</v>
      </c>
      <c r="D120" s="9">
        <f>D10+D18+D23+D28+D32+D38+D43+D48+D59+D63+D71+D76+D95+D100+D104+D109+D113+D118</f>
        <v>14654.04</v>
      </c>
      <c r="E120" s="9">
        <f>E10+E18+E23+E28+E32+E38+E43+E48+E59+E63+E71+E76+E95+E100+E104+E109+E113+E118</f>
        <v>11515.63</v>
      </c>
      <c r="F120" s="9">
        <f>F10+F18+F23+F28+F32+F38+F43+F48+F59+F63+F71+F76+F95+F100+F104+F109+F113+F118</f>
        <v>50468.72</v>
      </c>
      <c r="G120" s="9">
        <f>F120/4</f>
        <v>12617.18</v>
      </c>
    </row>
    <row r="123">
      <c r="A123" s="5" t="inlineStr">
        <is>
          <t xml:space="preserve">Category Totals</t>
        </is>
      </c>
    </row>
    <row r="124">
      <c r="A124" s="15" t="inlineStr">
        <is>
          <t xml:space="preserve">Category</t>
        </is>
      </c>
      <c r="B124" s="1" t="inlineStr">
        <is>
          <t xml:space="preserve">June 2026</t>
        </is>
      </c>
      <c r="C124" s="1" t="inlineStr">
        <is>
          <t xml:space="preserve">July 2026</t>
        </is>
      </c>
      <c r="D124" s="1" t="inlineStr">
        <is>
          <t xml:space="preserve">August 2026</t>
        </is>
      </c>
      <c r="E124" s="1" t="inlineStr">
        <is>
          <t xml:space="preserve">September 2026</t>
        </is>
      </c>
      <c r="F124" s="1" t="inlineStr">
        <is>
          <t xml:space="preserve">4-Month Total</t>
        </is>
      </c>
      <c r="G124" s="1" t="inlineStr">
        <is>
          <t xml:space="preserve">Monthly Avg</t>
        </is>
      </c>
    </row>
    <row r="125">
      <c r="A125" s="12" t="inlineStr">
        <is>
          <t xml:space="preserve">Housing</t>
        </is>
      </c>
      <c r="B125" s="3">
        <f>B10</f>
        <v>5695.83</v>
      </c>
      <c r="C125" s="3">
        <f>C10</f>
        <v>5012.66</v>
      </c>
      <c r="D125" s="3">
        <f>D10</f>
        <v>4903.21</v>
      </c>
      <c r="E125" s="3">
        <f>E10</f>
        <v>5178.1</v>
      </c>
      <c r="F125" s="3">
        <f>SUM(B125:E125)</f>
        <v>20789.8</v>
      </c>
      <c r="G125" s="3">
        <f>F125/4</f>
        <v>5197.45</v>
      </c>
    </row>
    <row r="126">
      <c r="A126" s="12" t="inlineStr">
        <is>
          <t xml:space="preserve">Insurance</t>
        </is>
      </c>
      <c r="B126" s="3">
        <f>B18</f>
        <v>1435.3</v>
      </c>
      <c r="C126" s="3">
        <f>C18</f>
        <v>1213.45</v>
      </c>
      <c r="D126" s="3">
        <f>D18</f>
        <v>1760.95</v>
      </c>
      <c r="E126" s="3">
        <f>E18</f>
        <v>1423.45</v>
      </c>
      <c r="F126" s="3">
        <f>SUM(B126:E126)</f>
        <v>5833.15</v>
      </c>
      <c r="G126" s="3">
        <f>F126/4</f>
        <v>1458.2875</v>
      </c>
    </row>
    <row r="127">
      <c r="A127" s="12" t="inlineStr">
        <is>
          <t xml:space="preserve">Utilities</t>
        </is>
      </c>
      <c r="B127" s="3">
        <f>B23</f>
        <v>78.84</v>
      </c>
      <c r="C127" s="3">
        <f>C23</f>
        <v>336.35</v>
      </c>
      <c r="D127" s="3">
        <f>D23</f>
        <v>586.29</v>
      </c>
      <c r="E127" s="3">
        <f>E23</f>
        <v>503.92</v>
      </c>
      <c r="F127" s="3">
        <f>SUM(B127:E127)</f>
        <v>1505.4</v>
      </c>
      <c r="G127" s="3">
        <f>F127/4</f>
        <v>376.35</v>
      </c>
    </row>
    <row r="128">
      <c r="A128" s="12" t="inlineStr">
        <is>
          <t xml:space="preserve">Phone &amp; Internet</t>
        </is>
      </c>
      <c r="B128" s="3">
        <f>B28</f>
        <v>375.36</v>
      </c>
      <c r="C128" s="3">
        <f>C28</f>
        <v>294.8</v>
      </c>
      <c r="D128" s="3">
        <f>D28</f>
        <v>597.6</v>
      </c>
      <c r="E128" s="3">
        <f>E28</f>
        <v>467.64</v>
      </c>
      <c r="F128" s="3">
        <f>SUM(B128:E128)</f>
        <v>1735.4</v>
      </c>
      <c r="G128" s="3">
        <f>F128/4</f>
        <v>433.85</v>
      </c>
    </row>
    <row r="129">
      <c r="A129" s="12" t="inlineStr">
        <is>
          <t xml:space="preserve">Student Loan</t>
        </is>
      </c>
      <c r="B129" s="3">
        <f>B32</f>
        <v>160.37</v>
      </c>
      <c r="C129" s="3">
        <f>C32</f>
        <v>160.37</v>
      </c>
      <c r="D129" s="3">
        <f>D32</f>
        <v>160.37</v>
      </c>
      <c r="E129" s="3">
        <f>E32</f>
        <v>160.37</v>
      </c>
      <c r="F129" s="3">
        <f>SUM(B129:E129)</f>
        <v>641.48</v>
      </c>
      <c r="G129" s="3">
        <f>F129/4</f>
        <v>160.37</v>
      </c>
    </row>
    <row r="130">
      <c r="A130" s="12" t="inlineStr">
        <is>
          <t xml:space="preserve">Groceries</t>
        </is>
      </c>
      <c r="B130" s="3">
        <f>B38</f>
        <v>1266.4</v>
      </c>
      <c r="C130" s="3">
        <f>C38</f>
        <v>1279.24</v>
      </c>
      <c r="D130" s="3">
        <f>D38</f>
        <v>1184.27</v>
      </c>
      <c r="E130" s="3">
        <f>E38</f>
        <v>1202.5</v>
      </c>
      <c r="F130" s="3">
        <f>SUM(B130:E130)</f>
        <v>4932.41</v>
      </c>
      <c r="G130" s="3">
        <f>F130/4</f>
        <v>1233.1025</v>
      </c>
    </row>
    <row r="131">
      <c r="A131" s="12" t="inlineStr">
        <is>
          <t xml:space="preserve">Food</t>
        </is>
      </c>
      <c r="B131" s="3">
        <f>B43</f>
        <v>1282.8</v>
      </c>
      <c r="C131" s="3">
        <f>C43</f>
        <v>909.94</v>
      </c>
      <c r="D131" s="3">
        <f>D43</f>
        <v>968.47</v>
      </c>
      <c r="E131" s="3">
        <f>E43</f>
        <v>839.3</v>
      </c>
      <c r="F131" s="3">
        <f>SUM(B131:E131)</f>
        <v>4000.51</v>
      </c>
      <c r="G131" s="3">
        <f>F131/4</f>
        <v>1000.1275</v>
      </c>
    </row>
    <row r="132">
      <c r="A132" s="12" t="inlineStr">
        <is>
          <t xml:space="preserve">Transportation</t>
        </is>
      </c>
      <c r="B132" s="3">
        <f>B48</f>
        <v>114.74</v>
      </c>
      <c r="C132" s="3">
        <f>C48</f>
        <v>277.87</v>
      </c>
      <c r="D132" s="3">
        <f>D48</f>
        <v>185.68</v>
      </c>
      <c r="E132" s="3">
        <f>E48</f>
        <v>307.22</v>
      </c>
      <c r="F132" s="3">
        <f>SUM(B132:E132)</f>
        <v>885.51</v>
      </c>
      <c r="G132" s="3">
        <f>F132/4</f>
        <v>221.3775</v>
      </c>
    </row>
    <row r="133">
      <c r="A133" s="12" t="inlineStr">
        <is>
          <t xml:space="preserve">Streaming</t>
        </is>
      </c>
      <c r="B133" s="3">
        <f>B59</f>
        <v>188.8</v>
      </c>
      <c r="C133" s="3">
        <f>C59</f>
        <v>201.6</v>
      </c>
      <c r="D133" s="3">
        <f>D59</f>
        <v>158.35</v>
      </c>
      <c r="E133" s="3">
        <f>E59</f>
        <v>188.98</v>
      </c>
      <c r="F133" s="3">
        <f>SUM(B133:E133)</f>
        <v>737.73</v>
      </c>
      <c r="G133" s="3">
        <f>F133/4</f>
        <v>184.4325</v>
      </c>
    </row>
    <row r="134">
      <c r="A134" s="12" t="inlineStr">
        <is>
          <t xml:space="preserve">Subscriptions</t>
        </is>
      </c>
      <c r="B134" s="3">
        <f>B63</f>
        <v>141.73</v>
      </c>
      <c r="C134" s="3">
        <f>C63</f>
        <v>161.05</v>
      </c>
      <c r="D134" s="3">
        <f>D63</f>
        <v>65.98</v>
      </c>
      <c r="E134" s="3">
        <f>E63</f>
        <v>0</v>
      </c>
      <c r="F134" s="3">
        <f>SUM(B134:E134)</f>
        <v>368.76</v>
      </c>
      <c r="G134" s="3">
        <f>F134/4</f>
        <v>92.19</v>
      </c>
    </row>
    <row r="135">
      <c r="A135" s="12" t="inlineStr">
        <is>
          <t xml:space="preserve">Health</t>
        </is>
      </c>
      <c r="B135" s="3">
        <f>B71</f>
        <v>160.07</v>
      </c>
      <c r="C135" s="3">
        <f>C71</f>
        <v>126.09</v>
      </c>
      <c r="D135" s="3">
        <f>D71</f>
        <v>850.9</v>
      </c>
      <c r="E135" s="3">
        <f>E71</f>
        <v>175.03</v>
      </c>
      <c r="F135" s="3">
        <f>SUM(B135:E135)</f>
        <v>1312.09</v>
      </c>
      <c r="G135" s="3">
        <f>F135/4</f>
        <v>328.0225</v>
      </c>
    </row>
    <row r="136">
      <c r="A136" s="12" t="inlineStr">
        <is>
          <t xml:space="preserve">Personal</t>
        </is>
      </c>
      <c r="B136" s="3">
        <f>B76</f>
        <v>182.5</v>
      </c>
      <c r="C136" s="3">
        <f>C76</f>
        <v>0</v>
      </c>
      <c r="D136" s="3">
        <f>D76</f>
        <v>182.5</v>
      </c>
      <c r="E136" s="3">
        <f>E76</f>
        <v>114.5</v>
      </c>
      <c r="F136" s="3">
        <f>SUM(B136:E136)</f>
        <v>479.5</v>
      </c>
      <c r="G136" s="3">
        <f>F136/4</f>
        <v>119.875</v>
      </c>
    </row>
    <row r="137">
      <c r="A137" s="12" t="inlineStr">
        <is>
          <t xml:space="preserve">Retail</t>
        </is>
      </c>
      <c r="B137" s="3">
        <f>B95</f>
        <v>815.42</v>
      </c>
      <c r="C137" s="3">
        <f>C95</f>
        <v>1150.18</v>
      </c>
      <c r="D137" s="3">
        <f>D95</f>
        <v>2380.47</v>
      </c>
      <c r="E137" s="3">
        <f>E95</f>
        <v>357.62</v>
      </c>
      <c r="F137" s="3">
        <f>SUM(B137:E137)</f>
        <v>4703.69</v>
      </c>
      <c r="G137" s="3">
        <f>F137/4</f>
        <v>1175.9225</v>
      </c>
    </row>
    <row r="138">
      <c r="A138" s="12" t="inlineStr">
        <is>
          <t xml:space="preserve">Home</t>
        </is>
      </c>
      <c r="B138" s="3">
        <f>B100</f>
        <v>60.0</v>
      </c>
      <c r="C138" s="3">
        <f>C100</f>
        <v>242.05</v>
      </c>
      <c r="D138" s="3">
        <f>D100</f>
        <v>324.0</v>
      </c>
      <c r="E138" s="3">
        <f>E100</f>
        <v>120.0</v>
      </c>
      <c r="F138" s="3">
        <f>SUM(B138:E138)</f>
        <v>746.05</v>
      </c>
      <c r="G138" s="3">
        <f>F138/4</f>
        <v>186.5125</v>
      </c>
    </row>
    <row r="139">
      <c r="A139" s="12" t="inlineStr">
        <is>
          <t xml:space="preserve">Travel</t>
        </is>
      </c>
      <c r="B139" s="3">
        <f>B104</f>
        <v>102.65</v>
      </c>
      <c r="C139" s="3">
        <f>C104</f>
        <v>0</v>
      </c>
      <c r="D139" s="3">
        <f>D104</f>
        <v>0</v>
      </c>
      <c r="E139" s="3">
        <f>E104</f>
        <v>0</v>
      </c>
      <c r="F139" s="3">
        <f>SUM(B139:E139)</f>
        <v>102.65</v>
      </c>
      <c r="G139" s="3">
        <f>F139/4</f>
        <v>25.6625</v>
      </c>
    </row>
    <row r="140">
      <c r="A140" s="12" t="inlineStr">
        <is>
          <t xml:space="preserve">Recreation</t>
        </is>
      </c>
      <c r="B140" s="3">
        <f>B109</f>
        <v>0</v>
      </c>
      <c r="C140" s="3">
        <f>C109</f>
        <v>33.54</v>
      </c>
      <c r="D140" s="3">
        <f>D109</f>
        <v>13.5</v>
      </c>
      <c r="E140" s="3">
        <f>E109</f>
        <v>0</v>
      </c>
      <c r="F140" s="3">
        <f>SUM(B140:E140)</f>
        <v>47.04</v>
      </c>
      <c r="G140" s="3">
        <f>F140/4</f>
        <v>11.76</v>
      </c>
    </row>
    <row r="141">
      <c r="A141" s="12" t="inlineStr">
        <is>
          <t xml:space="preserve">Transfers</t>
        </is>
      </c>
      <c r="B141" s="3">
        <f>B113</f>
        <v>75.0</v>
      </c>
      <c r="C141" s="3">
        <f>C113</f>
        <v>764.05</v>
      </c>
      <c r="D141" s="3">
        <f>D113</f>
        <v>331.5</v>
      </c>
      <c r="E141" s="3">
        <f>E113</f>
        <v>130.0</v>
      </c>
      <c r="F141" s="3">
        <f>SUM(B141:E141)</f>
        <v>1300.55</v>
      </c>
      <c r="G141" s="3">
        <f>F141/4</f>
        <v>325.1375</v>
      </c>
    </row>
    <row r="142">
      <c r="A142" s="12" t="inlineStr">
        <is>
          <t xml:space="preserve">Other</t>
        </is>
      </c>
      <c r="B142" s="3">
        <f>B118</f>
        <v>0</v>
      </c>
      <c r="C142" s="3">
        <f>C118</f>
        <v>0</v>
      </c>
      <c r="D142" s="3">
        <f>D118</f>
        <v>0</v>
      </c>
      <c r="E142" s="3">
        <f>E118</f>
        <v>347.0</v>
      </c>
      <c r="F142" s="3">
        <f>SUM(B142:E142)</f>
        <v>347.0</v>
      </c>
      <c r="G142" s="3">
        <f>F142/4</f>
        <v>86.75</v>
      </c>
    </row>
    <row r="143">
      <c r="A143" s="8" t="inlineStr">
        <is>
          <t xml:space="preserve">TOTAL SPENDING</t>
        </is>
      </c>
      <c r="B143" s="9">
        <f>SUM(B125:B142)</f>
        <v>12135.81</v>
      </c>
      <c r="C143" s="9">
        <f>SUM(C125:C142)</f>
        <v>12163.24</v>
      </c>
      <c r="D143" s="9">
        <f>SUM(D125:D142)</f>
        <v>14654.04</v>
      </c>
      <c r="E143" s="9">
        <f>SUM(E125:E142)</f>
        <v>11515.63</v>
      </c>
      <c r="F143" s="9">
        <f>SUM(F125:F142)</f>
        <v>50468.72</v>
      </c>
      <c r="G143" s="9">
        <f>F143/4</f>
        <v>12617.18</v>
      </c>
    </row>
    <row r="145">
      <c r="A145" s="5" t="inlineStr">
        <is>
          <t xml:space="preserve">Key Bills at a Glance</t>
        </is>
      </c>
    </row>
    <row r="146">
      <c r="A146" s="15" t="inlineStr">
        <is>
          <t xml:space="preserve">Bill</t>
        </is>
      </c>
      <c r="B146" s="1" t="inlineStr">
        <is>
          <t xml:space="preserve">June 2026</t>
        </is>
      </c>
      <c r="C146" s="1" t="inlineStr">
        <is>
          <t xml:space="preserve">July 2026</t>
        </is>
      </c>
      <c r="D146" s="1" t="inlineStr">
        <is>
          <t xml:space="preserve">August 2026</t>
        </is>
      </c>
      <c r="E146" s="1" t="inlineStr">
        <is>
          <t xml:space="preserve">September 2026</t>
        </is>
      </c>
      <c r="F146" s="1" t="inlineStr">
        <is>
          <t xml:space="preserve">4-Month Total</t>
        </is>
      </c>
      <c r="G146" s="1" t="inlineStr">
        <is>
          <t xml:space="preserve">Monthly Avg</t>
        </is>
      </c>
    </row>
    <row r="147">
      <c r="A147" s="12" t="inlineStr">
        <is>
          <t xml:space="preserve">A&amp;D Mortgage</t>
        </is>
      </c>
      <c r="B147" s="3">
        <f>SUMIFS('All Transactions'!$F$5:$F$436,'All Transactions'!$D$5:$D$436,$A147,'All Transactions'!$A$5:$A$436,B$4)</f>
        <v>3411.1</v>
      </c>
      <c r="C147" s="3">
        <f>SUMIFS('All Transactions'!$F$5:$F$436,'All Transactions'!$D$5:$D$436,$A147,'All Transactions'!$A$5:$A$436,C$4)</f>
        <v>3411.1</v>
      </c>
      <c r="D147" s="3">
        <f>SUMIFS('All Transactions'!$F$5:$F$436,'All Transactions'!$D$5:$D$436,$A147,'All Transactions'!$A$5:$A$436,D$4)</f>
        <v>3411.1</v>
      </c>
      <c r="E147" s="3">
        <f>SUMIFS('All Transactions'!$F$5:$F$436,'All Transactions'!$D$5:$D$436,$A147,'All Transactions'!$A$5:$A$436,E$4)</f>
        <v>3411.1</v>
      </c>
      <c r="F147" s="3">
        <f>SUM(B147:E147)</f>
        <v>13644.4</v>
      </c>
      <c r="G147" s="3">
        <f>F147/4</f>
        <v>3411.1</v>
      </c>
    </row>
    <row r="148">
      <c r="A148" s="12" t="inlineStr">
        <is>
          <t xml:space="preserve">St. James Membership (Club)</t>
        </is>
      </c>
      <c r="B148" s="3">
        <f>SUMIFS('All Transactions'!$F$5:$F$436,'All Transactions'!$D$5:$D$436,$A148,'All Transactions'!$A$5:$A$436,B$4)</f>
        <v>1591.78</v>
      </c>
      <c r="C148" s="3">
        <f>SUMIFS('All Transactions'!$F$5:$F$436,'All Transactions'!$D$5:$D$436,$A148,'All Transactions'!$A$5:$A$436,C$4)</f>
        <v>1601.56</v>
      </c>
      <c r="D148" s="3">
        <f>SUMIFS('All Transactions'!$F$5:$F$436,'All Transactions'!$D$5:$D$436,$A148,'All Transactions'!$A$5:$A$436,D$4)</f>
        <v>1492.11</v>
      </c>
      <c r="E148" s="3">
        <f>SUMIFS('All Transactions'!$F$5:$F$436,'All Transactions'!$D$5:$D$436,$A148,'All Transactions'!$A$5:$A$436,E$4)</f>
        <v>1767.0</v>
      </c>
      <c r="F148" s="3">
        <f>SUM(B148:E148)</f>
        <v>6452.45</v>
      </c>
      <c r="G148" s="3">
        <f>F148/4</f>
        <v>1613.1125</v>
      </c>
    </row>
    <row r="149">
      <c r="A149" s="12" t="inlineStr">
        <is>
          <t xml:space="preserve">St. James Plantation POA Dues</t>
        </is>
      </c>
      <c r="B149" s="3">
        <f>SUMIFS('All Transactions'!$F$5:$F$436,'All Transactions'!$D$5:$D$436,$A149,'All Transactions'!$A$5:$A$436,B$4)</f>
        <v>692.95</v>
      </c>
      <c r="C149" s="3">
        <f>SUMIFS('All Transactions'!$F$5:$F$436,'All Transactions'!$D$5:$D$436,$A149,'All Transactions'!$A$5:$A$436,C$4)</f>
        <v>0</v>
      </c>
      <c r="D149" s="3">
        <f>SUMIFS('All Transactions'!$F$5:$F$436,'All Transactions'!$D$5:$D$436,$A149,'All Transactions'!$A$5:$A$436,D$4)</f>
        <v>0</v>
      </c>
      <c r="E149" s="3">
        <f>SUMIFS('All Transactions'!$F$5:$F$436,'All Transactions'!$D$5:$D$436,$A149,'All Transactions'!$A$5:$A$436,E$4)</f>
        <v>0</v>
      </c>
      <c r="F149" s="3">
        <f>SUM(B149:E149)</f>
        <v>692.95</v>
      </c>
      <c r="G149" s="3">
        <f>F149/4</f>
        <v>173.2375</v>
      </c>
    </row>
    <row r="150">
      <c r="A150" s="12" t="inlineStr">
        <is>
          <t xml:space="preserve">Allstate Insurance</t>
        </is>
      </c>
      <c r="B150" s="3">
        <f>SUMIFS('All Transactions'!$F$5:$F$436,'All Transactions'!$D$5:$D$436,$A150,'All Transactions'!$A$5:$A$436,B$4)</f>
        <v>360.42</v>
      </c>
      <c r="C150" s="3">
        <f>SUMIFS('All Transactions'!$F$5:$F$436,'All Transactions'!$D$5:$D$436,$A150,'All Transactions'!$A$5:$A$436,C$4)</f>
        <v>360.42</v>
      </c>
      <c r="D150" s="3">
        <f>SUMIFS('All Transactions'!$F$5:$F$436,'All Transactions'!$D$5:$D$436,$A150,'All Transactions'!$A$5:$A$436,D$4)</f>
        <v>475.42</v>
      </c>
      <c r="E150" s="3">
        <f>SUMIFS('All Transactions'!$F$5:$F$436,'All Transactions'!$D$5:$D$436,$A150,'All Transactions'!$A$5:$A$436,E$4)</f>
        <v>354.17</v>
      </c>
      <c r="F150" s="3">
        <f>SUM(B150:E150)</f>
        <v>1550.43</v>
      </c>
      <c r="G150" s="3">
        <f>F150/4</f>
        <v>387.6075</v>
      </c>
    </row>
    <row r="151">
      <c r="A151" s="12" t="inlineStr">
        <is>
          <t xml:space="preserve">Life Insurance (Lincoln National)</t>
        </is>
      </c>
      <c r="B151" s="3">
        <f>SUMIFS('All Transactions'!$F$5:$F$436,'All Transactions'!$D$5:$D$436,$A151,'All Transactions'!$A$5:$A$436,B$4)</f>
        <v>79.21</v>
      </c>
      <c r="C151" s="3">
        <f>SUMIFS('All Transactions'!$F$5:$F$436,'All Transactions'!$D$5:$D$436,$A151,'All Transactions'!$A$5:$A$436,C$4)</f>
        <v>73.61</v>
      </c>
      <c r="D151" s="3">
        <f>SUMIFS('All Transactions'!$F$5:$F$436,'All Transactions'!$D$5:$D$436,$A151,'All Transactions'!$A$5:$A$436,D$4)</f>
        <v>73.61</v>
      </c>
      <c r="E151" s="3">
        <f>SUMIFS('All Transactions'!$F$5:$F$436,'All Transactions'!$D$5:$D$436,$A151,'All Transactions'!$A$5:$A$436,E$4)</f>
        <v>73.61</v>
      </c>
      <c r="F151" s="3">
        <f>SUM(B151:E151)</f>
        <v>300.04</v>
      </c>
      <c r="G151" s="3">
        <f>F151/4</f>
        <v>75.01</v>
      </c>
    </row>
    <row r="152">
      <c r="A152" s="12" t="inlineStr">
        <is>
          <t xml:space="preserve">Banner Life Insurance</t>
        </is>
      </c>
      <c r="B152" s="3">
        <f>SUMIFS('All Transactions'!$F$5:$F$436,'All Transactions'!$D$5:$D$436,$A152,'All Transactions'!$A$5:$A$436,B$4)</f>
        <v>710.06</v>
      </c>
      <c r="C152" s="3">
        <f>SUMIFS('All Transactions'!$F$5:$F$436,'All Transactions'!$D$5:$D$436,$A152,'All Transactions'!$A$5:$A$436,C$4)</f>
        <v>710.06</v>
      </c>
      <c r="D152" s="3">
        <f>SUMIFS('All Transactions'!$F$5:$F$436,'All Transactions'!$D$5:$D$436,$A152,'All Transactions'!$A$5:$A$436,D$4)</f>
        <v>710.06</v>
      </c>
      <c r="E152" s="3">
        <f>SUMIFS('All Transactions'!$F$5:$F$436,'All Transactions'!$D$5:$D$436,$A152,'All Transactions'!$A$5:$A$436,E$4)</f>
        <v>710.06</v>
      </c>
      <c r="F152" s="3">
        <f>SUM(B152:E152)</f>
        <v>2840.24</v>
      </c>
      <c r="G152" s="3">
        <f>F152/4</f>
        <v>710.06</v>
      </c>
    </row>
    <row r="153">
      <c r="A153" s="12" t="inlineStr">
        <is>
          <t xml:space="preserve">Health Insurance – Blue Cross NC</t>
        </is>
      </c>
      <c r="B153" s="3">
        <f>SUMIFS('All Transactions'!$F$5:$F$436,'All Transactions'!$D$5:$D$436,$A153,'All Transactions'!$A$5:$A$436,B$4)</f>
        <v>216.25</v>
      </c>
      <c r="C153" s="3">
        <f>SUMIFS('All Transactions'!$F$5:$F$436,'All Transactions'!$D$5:$D$436,$A153,'All Transactions'!$A$5:$A$436,C$4)</f>
        <v>0</v>
      </c>
      <c r="D153" s="3">
        <f>SUMIFS('All Transactions'!$F$5:$F$436,'All Transactions'!$D$5:$D$436,$A153,'All Transactions'!$A$5:$A$436,D$4)</f>
        <v>432.5</v>
      </c>
      <c r="E153" s="3">
        <f>SUMIFS('All Transactions'!$F$5:$F$436,'All Transactions'!$D$5:$D$436,$A153,'All Transactions'!$A$5:$A$436,E$4)</f>
        <v>216.25</v>
      </c>
      <c r="F153" s="3">
        <f>SUM(B153:E153)</f>
        <v>865.0</v>
      </c>
      <c r="G153" s="3">
        <f>F153/4</f>
        <v>216.25</v>
      </c>
    </row>
    <row r="154">
      <c r="A154" s="12" t="inlineStr">
        <is>
          <t xml:space="preserve">Dental Insurance – Delta Dental</t>
        </is>
      </c>
      <c r="B154" s="3">
        <f>SUMIFS('All Transactions'!$F$5:$F$436,'All Transactions'!$D$5:$D$436,$A154,'All Transactions'!$A$5:$A$436,B$4)</f>
        <v>69.36</v>
      </c>
      <c r="C154" s="3">
        <f>SUMIFS('All Transactions'!$F$5:$F$436,'All Transactions'!$D$5:$D$436,$A154,'All Transactions'!$A$5:$A$436,C$4)</f>
        <v>69.36</v>
      </c>
      <c r="D154" s="3">
        <f>SUMIFS('All Transactions'!$F$5:$F$436,'All Transactions'!$D$5:$D$436,$A154,'All Transactions'!$A$5:$A$436,D$4)</f>
        <v>69.36</v>
      </c>
      <c r="E154" s="3">
        <f>SUMIFS('All Transactions'!$F$5:$F$436,'All Transactions'!$D$5:$D$436,$A154,'All Transactions'!$A$5:$A$436,E$4)</f>
        <v>69.36</v>
      </c>
      <c r="F154" s="3">
        <f>SUM(B154:E154)</f>
        <v>277.44</v>
      </c>
      <c r="G154" s="3">
        <f>F154/4</f>
        <v>69.36</v>
      </c>
    </row>
    <row r="155">
      <c r="A155" s="12" t="inlineStr">
        <is>
          <t xml:space="preserve">Verizon Wireless</t>
        </is>
      </c>
      <c r="B155" s="3">
        <f>SUMIFS('All Transactions'!$F$5:$F$436,'All Transactions'!$D$5:$D$436,$A155,'All Transactions'!$A$5:$A$436,B$4)</f>
        <v>294.57</v>
      </c>
      <c r="C155" s="3">
        <f>SUMIFS('All Transactions'!$F$5:$F$436,'All Transactions'!$D$5:$D$436,$A155,'All Transactions'!$A$5:$A$436,C$4)</f>
        <v>294.8</v>
      </c>
      <c r="D155" s="3">
        <f>SUMIFS('All Transactions'!$F$5:$F$436,'All Transactions'!$D$5:$D$436,$A155,'All Transactions'!$A$5:$A$436,D$4)</f>
        <v>436.02</v>
      </c>
      <c r="E155" s="3">
        <f>SUMIFS('All Transactions'!$F$5:$F$436,'All Transactions'!$D$5:$D$436,$A155,'All Transactions'!$A$5:$A$436,E$4)</f>
        <v>386.85</v>
      </c>
      <c r="F155" s="3">
        <f>SUM(B155:E155)</f>
        <v>1412.24</v>
      </c>
      <c r="G155" s="3">
        <f>F155/4</f>
        <v>353.06</v>
      </c>
    </row>
    <row r="156">
      <c r="A156" s="12" t="inlineStr">
        <is>
          <t xml:space="preserve">Student Loan (Dept of Education)</t>
        </is>
      </c>
      <c r="B156" s="3">
        <f>SUMIFS('All Transactions'!$F$5:$F$436,'All Transactions'!$D$5:$D$436,$A156,'All Transactions'!$A$5:$A$436,B$4)</f>
        <v>160.37</v>
      </c>
      <c r="C156" s="3">
        <f>SUMIFS('All Transactions'!$F$5:$F$436,'All Transactions'!$D$5:$D$436,$A156,'All Transactions'!$A$5:$A$436,C$4)</f>
        <v>160.37</v>
      </c>
      <c r="D156" s="3">
        <f>SUMIFS('All Transactions'!$F$5:$F$436,'All Transactions'!$D$5:$D$436,$A156,'All Transactions'!$A$5:$A$436,D$4)</f>
        <v>160.37</v>
      </c>
      <c r="E156" s="3">
        <f>SUMIFS('All Transactions'!$F$5:$F$436,'All Transactions'!$D$5:$D$436,$A156,'All Transactions'!$A$5:$A$436,E$4)</f>
        <v>160.37</v>
      </c>
      <c r="F156" s="3">
        <f>SUM(B156:E156)</f>
        <v>641.48</v>
      </c>
      <c r="G156" s="3">
        <f>F156/4</f>
        <v>160.37</v>
      </c>
    </row>
    <row r="157">
      <c r="A157" s="12" t="inlineStr">
        <is>
          <t xml:space="preserve">CVS Pharmacy</t>
        </is>
      </c>
      <c r="B157" s="3">
        <f>SUMIFS('All Transactions'!$F$5:$F$436,'All Transactions'!$D$5:$D$436,$A157,'All Transactions'!$A$5:$A$436,B$4)</f>
        <v>160.07</v>
      </c>
      <c r="C157" s="3">
        <f>SUMIFS('All Transactions'!$F$5:$F$436,'All Transactions'!$D$5:$D$436,$A157,'All Transactions'!$A$5:$A$436,C$4)</f>
        <v>100.93</v>
      </c>
      <c r="D157" s="3">
        <f>SUMIFS('All Transactions'!$F$5:$F$436,'All Transactions'!$D$5:$D$436,$A157,'All Transactions'!$A$5:$A$436,D$4)</f>
        <v>383.24</v>
      </c>
      <c r="E157" s="3">
        <f>SUMIFS('All Transactions'!$F$5:$F$436,'All Transactions'!$D$5:$D$436,$A157,'All Transactions'!$A$5:$A$436,E$4)</f>
        <v>0</v>
      </c>
      <c r="F157" s="3">
        <f>SUM(B157:E157)</f>
        <v>644.24</v>
      </c>
      <c r="G157" s="3">
        <f>F157/4</f>
        <v>161.06</v>
      </c>
    </row>
    <row r="158">
      <c r="A158" s="12" t="inlineStr">
        <is>
          <t xml:space="preserve">Utility – Electric (BEMC)</t>
        </is>
      </c>
      <c r="B158" s="3">
        <f>SUMIFS('All Transactions'!$F$5:$F$436,'All Transactions'!$D$5:$D$436,$A158,'All Transactions'!$A$5:$A$436,B$4)</f>
        <v>0</v>
      </c>
      <c r="C158" s="3">
        <f>SUMIFS('All Transactions'!$F$5:$F$436,'All Transactions'!$D$5:$D$436,$A158,'All Transactions'!$A$5:$A$436,C$4)</f>
        <v>336.35</v>
      </c>
      <c r="D158" s="3">
        <f>SUMIFS('All Transactions'!$F$5:$F$436,'All Transactions'!$D$5:$D$436,$A158,'All Transactions'!$A$5:$A$436,D$4)</f>
        <v>406.96</v>
      </c>
      <c r="E158" s="3">
        <f>SUMIFS('All Transactions'!$F$5:$F$436,'All Transactions'!$D$5:$D$436,$A158,'All Transactions'!$A$5:$A$436,E$4)</f>
        <v>419.66</v>
      </c>
      <c r="F158" s="3">
        <f>SUM(B158:E158)</f>
        <v>1162.97</v>
      </c>
      <c r="G158" s="3">
        <f>F158/4</f>
        <v>290.7425</v>
      </c>
    </row>
    <row r="159">
      <c r="A159" s="12" t="inlineStr">
        <is>
          <t xml:space="preserve">Utility – Water/Sewer (Brunswick County)</t>
        </is>
      </c>
      <c r="B159" s="3">
        <f>SUMIFS('All Transactions'!$F$5:$F$436,'All Transactions'!$D$5:$D$436,$A159,'All Transactions'!$A$5:$A$436,B$4)</f>
        <v>78.84</v>
      </c>
      <c r="C159" s="3">
        <f>SUMIFS('All Transactions'!$F$5:$F$436,'All Transactions'!$D$5:$D$436,$A159,'All Transactions'!$A$5:$A$436,C$4)</f>
        <v>0</v>
      </c>
      <c r="D159" s="3">
        <f>SUMIFS('All Transactions'!$F$5:$F$436,'All Transactions'!$D$5:$D$436,$A159,'All Transactions'!$A$5:$A$436,D$4)</f>
        <v>179.33</v>
      </c>
      <c r="E159" s="3">
        <f>SUMIFS('All Transactions'!$F$5:$F$436,'All Transactions'!$D$5:$D$436,$A159,'All Transactions'!$A$5:$A$436,E$4)</f>
        <v>84.26</v>
      </c>
      <c r="F159" s="3">
        <f>SUM(B159:E159)</f>
        <v>342.43</v>
      </c>
      <c r="G159" s="3">
        <f>F159/4</f>
        <v>85.6075</v>
      </c>
    </row>
    <row r="160">
      <c r="A160" s="12" t="inlineStr">
        <is>
          <t xml:space="preserve">Utilities total (BEMC + Brunswick County)</t>
        </is>
      </c>
      <c r="B160" s="3">
        <f>SUMIFS('All Transactions'!$F$5:$F$436,'All Transactions'!$E$5:$E$436,"Utilities",'All Transactions'!$A$5:$A$436,B$4)</f>
        <v>78.84</v>
      </c>
      <c r="C160" s="3">
        <f>SUMIFS('All Transactions'!$F$5:$F$436,'All Transactions'!$E$5:$E$436,"Utilities",'All Transactions'!$A$5:$A$436,C$4)</f>
        <v>336.35</v>
      </c>
      <c r="D160" s="3">
        <f>SUMIFS('All Transactions'!$F$5:$F$436,'All Transactions'!$E$5:$E$436,"Utilities",'All Transactions'!$A$5:$A$436,D$4)</f>
        <v>586.29</v>
      </c>
      <c r="E160" s="3">
        <f>SUMIFS('All Transactions'!$F$5:$F$436,'All Transactions'!$E$5:$E$436,"Utilities",'All Transactions'!$A$5:$A$436,E$4)</f>
        <v>503.92</v>
      </c>
      <c r="F160" s="3">
        <f>SUM(B160:E160)</f>
        <v>1505.4</v>
      </c>
      <c r="G160" s="3">
        <f>F160/4</f>
        <v>376.35</v>
      </c>
    </row>
    <row r="161">
      <c r="A161" s="12" t="inlineStr">
        <is>
          <t xml:space="preserve">Internet – Focus Broadband</t>
        </is>
      </c>
      <c r="B161" s="3">
        <f>SUMIFS('All Transactions'!$F$5:$F$436,'All Transactions'!$D$5:$D$436,$A161,'All Transactions'!$A$5:$A$436,B$4)</f>
        <v>80.79</v>
      </c>
      <c r="C161" s="3">
        <f>SUMIFS('All Transactions'!$F$5:$F$436,'All Transactions'!$D$5:$D$436,$A161,'All Transactions'!$A$5:$A$436,C$4)</f>
        <v>0</v>
      </c>
      <c r="D161" s="3">
        <f>SUMIFS('All Transactions'!$F$5:$F$436,'All Transactions'!$D$5:$D$436,$A161,'All Transactions'!$A$5:$A$436,D$4)</f>
        <v>161.58</v>
      </c>
      <c r="E161" s="3">
        <f>SUMIFS('All Transactions'!$F$5:$F$436,'All Transactions'!$D$5:$D$436,$A161,'All Transactions'!$A$5:$A$436,E$4)</f>
        <v>80.79</v>
      </c>
      <c r="F161" s="3">
        <f>SUM(B161:E161)</f>
        <v>323.16</v>
      </c>
      <c r="G161" s="3">
        <f>F161/4</f>
        <v>80.79</v>
      </c>
    </row>
    <row r="162">
      <c r="A162" s="12" t="inlineStr">
        <is>
          <t xml:space="preserve">Restaurants &amp; Takeout</t>
        </is>
      </c>
      <c r="B162" s="3">
        <f>SUMIFS('All Transactions'!$F$5:$F$436,'All Transactions'!$D$5:$D$436,$A162,'All Transactions'!$A$5:$A$436,B$4)</f>
        <v>1019.45</v>
      </c>
      <c r="C162" s="3">
        <f>SUMIFS('All Transactions'!$F$5:$F$436,'All Transactions'!$D$5:$D$436,$A162,'All Transactions'!$A$5:$A$436,C$4)</f>
        <v>909.94</v>
      </c>
      <c r="D162" s="3">
        <f>SUMIFS('All Transactions'!$F$5:$F$436,'All Transactions'!$D$5:$D$436,$A162,'All Transactions'!$A$5:$A$436,D$4)</f>
        <v>962.62</v>
      </c>
      <c r="E162" s="3">
        <f>SUMIFS('All Transactions'!$F$5:$F$436,'All Transactions'!$D$5:$D$436,$A162,'All Transactions'!$A$5:$A$436,E$4)</f>
        <v>839.3</v>
      </c>
      <c r="F162" s="3">
        <f>SUM(B162:E162)</f>
        <v>3731.31</v>
      </c>
      <c r="G162" s="3">
        <f>F162/4</f>
        <v>932.8275</v>
      </c>
    </row>
    <row r="163">
      <c r="A163" s="12" t="inlineStr">
        <is>
          <t xml:space="preserve">Gas &amp; Convenience Stores</t>
        </is>
      </c>
      <c r="B163" s="3">
        <f>SUMIFS('All Transactions'!$F$5:$F$436,'All Transactions'!$D$5:$D$436,$A163,'All Transactions'!$A$5:$A$436,B$4)</f>
        <v>108.9</v>
      </c>
      <c r="C163" s="3">
        <f>SUMIFS('All Transactions'!$F$5:$F$436,'All Transactions'!$D$5:$D$436,$A163,'All Transactions'!$A$5:$A$436,C$4)</f>
        <v>277.87</v>
      </c>
      <c r="D163" s="3">
        <f>SUMIFS('All Transactions'!$F$5:$F$436,'All Transactions'!$D$5:$D$436,$A163,'All Transactions'!$A$5:$A$436,D$4)</f>
        <v>167.24</v>
      </c>
      <c r="E163" s="3">
        <f>SUMIFS('All Transactions'!$F$5:$F$436,'All Transactions'!$D$5:$D$436,$A163,'All Transactions'!$A$5:$A$436,E$4)</f>
        <v>238.98</v>
      </c>
      <c r="F163" s="3">
        <f>SUM(B163:E163)</f>
        <v>792.99</v>
      </c>
      <c r="G163" s="3">
        <f>F163/4</f>
        <v>198.2475</v>
      </c>
    </row>
    <row r="164">
      <c r="A164" s="12" t="inlineStr">
        <is>
          <t xml:space="preserve">Groceries (Lowes Foods + Publix + Food Lion)</t>
        </is>
      </c>
      <c r="B164" s="3">
        <f>SUMIFS('All Transactions'!$F$5:$F$436,'All Transactions'!$E$5:$E$436,"Groceries",'All Transactions'!$A$5:$A$436,B$4)</f>
        <v>1266.4</v>
      </c>
      <c r="C164" s="3">
        <f>SUMIFS('All Transactions'!$F$5:$F$436,'All Transactions'!$E$5:$E$436,"Groceries",'All Transactions'!$A$5:$A$436,C$4)</f>
        <v>1279.24</v>
      </c>
      <c r="D164" s="3">
        <f>SUMIFS('All Transactions'!$F$5:$F$436,'All Transactions'!$E$5:$E$436,"Groceries",'All Transactions'!$A$5:$A$436,D$4)</f>
        <v>1184.27</v>
      </c>
      <c r="E164" s="3">
        <f>SUMIFS('All Transactions'!$F$5:$F$436,'All Transactions'!$E$5:$E$436,"Groceries",'All Transactions'!$A$5:$A$436,E$4)</f>
        <v>1202.5</v>
      </c>
      <c r="F164" s="3">
        <f>SUM(B164:E164)</f>
        <v>4932.41</v>
      </c>
      <c r="G164" s="3">
        <f>F164/4</f>
        <v>1233.1025</v>
      </c>
    </row>
    <row r="165">
      <c r="A165" s="12" t="inlineStr">
        <is>
          <t xml:space="preserve">Haircuts – The Color Bar</t>
        </is>
      </c>
      <c r="B165" s="3">
        <f>SUMIFS('All Transactions'!$F$5:$F$436,'All Transactions'!$D$5:$D$436,$A165,'All Transactions'!$A$5:$A$436,B$4)</f>
        <v>182.5</v>
      </c>
      <c r="C165" s="3">
        <f>SUMIFS('All Transactions'!$F$5:$F$436,'All Transactions'!$D$5:$D$436,$A165,'All Transactions'!$A$5:$A$436,C$4)</f>
        <v>0</v>
      </c>
      <c r="D165" s="3">
        <f>SUMIFS('All Transactions'!$F$5:$F$436,'All Transactions'!$D$5:$D$436,$A165,'All Transactions'!$A$5:$A$436,D$4)</f>
        <v>182.5</v>
      </c>
      <c r="E165" s="3">
        <f>SUMIFS('All Transactions'!$F$5:$F$436,'All Transactions'!$D$5:$D$436,$A165,'All Transactions'!$A$5:$A$436,E$4)</f>
        <v>32.5</v>
      </c>
      <c r="F165" s="3">
        <f>SUM(B165:E165)</f>
        <v>397.5</v>
      </c>
      <c r="G165" s="3">
        <f>F165/4</f>
        <v>99.375</v>
      </c>
    </row>
    <row r="166">
      <c r="A166" s="12" t="inlineStr">
        <is>
          <t xml:space="preserve">Retail (all retailers)</t>
        </is>
      </c>
      <c r="B166" s="3">
        <f>SUMIFS('All Transactions'!$F$5:$F$436,'All Transactions'!$E$5:$E$436,"Retail",'All Transactions'!$A$5:$A$436,B$4)</f>
        <v>815.42</v>
      </c>
      <c r="C166" s="3">
        <f>SUMIFS('All Transactions'!$F$5:$F$436,'All Transactions'!$E$5:$E$436,"Retail",'All Transactions'!$A$5:$A$436,C$4)</f>
        <v>1150.18</v>
      </c>
      <c r="D166" s="3">
        <f>SUMIFS('All Transactions'!$F$5:$F$436,'All Transactions'!$E$5:$E$436,"Retail",'All Transactions'!$A$5:$A$436,D$4)</f>
        <v>2380.47</v>
      </c>
      <c r="E166" s="3">
        <f>SUMIFS('All Transactions'!$F$5:$F$436,'All Transactions'!$E$5:$E$436,"Retail",'All Transactions'!$A$5:$A$436,E$4)</f>
        <v>357.62</v>
      </c>
      <c r="F166" s="3">
        <f>SUM(B166:E166)</f>
        <v>4703.69</v>
      </c>
      <c r="G166" s="3">
        <f>F166/4</f>
        <v>1175.9225</v>
      </c>
    </row>
    <row r="167">
      <c r="A167" s="12" t="inlineStr">
        <is>
          <t xml:space="preserve">Streaming (all services)</t>
        </is>
      </c>
      <c r="B167" s="3">
        <f>SUMIFS('All Transactions'!$F$5:$F$436,'All Transactions'!$E$5:$E$436,"Streaming",'All Transactions'!$A$5:$A$436,B$4)</f>
        <v>188.8</v>
      </c>
      <c r="C167" s="3">
        <f>SUMIFS('All Transactions'!$F$5:$F$436,'All Transactions'!$E$5:$E$436,"Streaming",'All Transactions'!$A$5:$A$436,C$4)</f>
        <v>201.6</v>
      </c>
      <c r="D167" s="3">
        <f>SUMIFS('All Transactions'!$F$5:$F$436,'All Transactions'!$E$5:$E$436,"Streaming",'All Transactions'!$A$5:$A$436,D$4)</f>
        <v>158.35</v>
      </c>
      <c r="E167" s="3">
        <f>SUMIFS('All Transactions'!$F$5:$F$436,'All Transactions'!$E$5:$E$436,"Streaming",'All Transactions'!$A$5:$A$436,E$4)</f>
        <v>188.98</v>
      </c>
      <c r="F167" s="3">
        <f>SUM(B167:E167)</f>
        <v>737.73</v>
      </c>
      <c r="G167" s="3">
        <f>F167/4</f>
        <v>184.4325</v>
      </c>
    </row>
    <row r="169">
      <c r="A169" s="5" t="inlineStr">
        <is>
          <t xml:space="preserve">Notes &amp; assumptions</t>
        </is>
      </c>
    </row>
    <row r="170" ht="27" customHeight="1">
      <c r="A170" s="11" t="inlineStr">
        <is>
          <t xml:space="preserve">• "Month" = the bank statement period (June stmt 5/27–6/24, July 6/25–7/23, Aug 7/24–8/25, Sept 8/26–9/24), not the calendar month.</t>
        </is>
      </c>
    </row>
    <row r="171" ht="27" customHeight="1">
      <c r="A171" s="11" t="inlineStr">
        <is>
          <t xml:space="preserve">• Items not counted as spending, and the check against the bank statements, are on the "Not Counted as Spending" tab. The "August Differences" tab explains why August was higher. "Autobks*Nextgen" = the yard company (Home group).</t>
        </is>
      </c>
    </row>
    <row r="172" ht="27" customHeight="1">
      <c r="A172" s="11" t="inlineStr">
        <is>
          <t xml:space="preserve">• Insurance: Allstate, Life Insurance (Lincoln National "Lifecomm" EDI payments) and Banner Life are kept separate as requested. Allstate on 8/3 ($115.00) is an extra payment beyond the usual monthly draft.</t>
        </is>
      </c>
    </row>
    <row r="173" ht="27" customHeight="1">
      <c r="A173" s="11" t="inlineStr">
        <is>
          <t xml:space="preserve">• Not counted as spending (per your instructions): WTW health premium ($2,576/mo, reimbursed by Via Benefits), American Express credit card payoffs, Sloane Realty, Dust and Mop House, Bowery West, checks #101/102/103/518/520, and a $3.26 transfer to your own Wells Fargo account. They are listed in their own section so the sheet still ties to the bank statement.</t>
        </is>
      </c>
    </row>
    <row r="174" ht="27" customHeight="1">
      <c r="A174" s="11" t="inlineStr">
        <is>
          <t xml:space="preserve">• Utilities = BEMC (Brunswick Electric Membership Corp, electric) and Brunswick County Utilities (water/sewer, incl. $2.95 online-payment fee). Verizon Wireless and Focus Broadband (internet) are in Phone &amp; Internet.</t>
        </is>
      </c>
    </row>
    <row r="175" ht="27" customHeight="1">
      <c r="A175" s="11" t="inlineStr">
        <is>
          <t xml:space="preserve">• St. James: "St James 7134 PAP" = club membership monthly draft; "St James Plantation Assn Dues" = POA dues (June only). St. James Marina purchases are listed separately.</t>
        </is>
      </c>
    </row>
    <row r="176" ht="27" customHeight="1">
      <c r="A176" s="11" t="inlineStr">
        <is>
          <t xml:space="preserve">• Streaming: one line per service. No Netflix charges appear on these statements (it may be billed to a credit card). The Sept 13 Google YouTube TV charge ($43.43) is an extra charge on top of the regular $89. Apple.com/Bill charges are in Software &amp; Online Subscriptions because the statement does not say which Apple service they are for. Retail: one line per retailer. Belk appears only as Belk store-card payments (the store purchases themselves are on the card). Walmart may include some groceries. Gas &amp; Convenience includes everything bought at gas stations (fuel and snacks can't be separated). Granville Medical and Duke charges are small hospital food/parking charges, listed under Health.</t>
        </is>
      </c>
    </row>
  </sheetData>
  <mergeCells count="7">
    <mergeCell ref="A170:G170"/>
    <mergeCell ref="A171:G171"/>
    <mergeCell ref="A172:G172"/>
    <mergeCell ref="A173:G173"/>
    <mergeCell ref="A174:G174"/>
    <mergeCell ref="A175:G175"/>
    <mergeCell ref="A176:G176"/>
  </mergeCells>
  <pageMargins left="0.5" right="0.5" top="0.6" bottom="0.6" header="0.3" footer="0.3"/>
  <pageSetup orientation="landscape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5"/>
  <cols>
    <col min="1" max="1" width="11" customWidth="1"/>
    <col min="2" max="2" width="52" customWidth="1"/>
    <col min="3" max="3" width="44" customWidth="1"/>
    <col min="4" max="4" width="14" customWidth="1"/>
  </cols>
  <sheetData>
    <row r="1">
      <c r="A1" s="10" t="inlineStr">
        <is>
          <t xml:space="preserve">Monthly Detail — Every Spending Transaction</t>
        </is>
      </c>
    </row>
    <row r="2">
      <c r="A2" s="14" t="inlineStr">
        <is>
          <t xml:space="preserve">Grouped by month, then category (same order as the Monthly Summary). Items not counted as spending are on the "Not Counted as Spending" tab.</t>
        </is>
      </c>
    </row>
    <row r="4">
      <c r="A4" s="6" t="inlineStr">
        <is>
          <t xml:space="preserve">June 2026  ·  statement period 5/27–6/24/26</t>
        </is>
      </c>
      <c r="B4" s="6"/>
      <c r="C4" s="6"/>
      <c r="D4" s="6"/>
    </row>
    <row r="5">
      <c r="A5" s="1" t="inlineStr">
        <is>
          <t xml:space="preserve">Date</t>
        </is>
      </c>
      <c r="B5" s="15" t="inlineStr">
        <is>
          <t xml:space="preserve">Description</t>
        </is>
      </c>
      <c r="C5" s="1" t="inlineStr">
        <is>
          <t xml:space="preserve">Category</t>
        </is>
      </c>
      <c r="D5" s="1" t="inlineStr">
        <is>
          <t xml:space="preserve">Amount</t>
        </is>
      </c>
    </row>
    <row r="6">
      <c r="A6" s="4">
        <v>46189</v>
      </c>
      <c r="B6" s="2" t="inlineStr">
        <is>
          <t xml:space="preserve">A&amp;D Mortgage LLC Re Payment</t>
        </is>
      </c>
      <c r="C6" s="2" t="inlineStr">
        <is>
          <t xml:space="preserve">A&amp;D Mortgage</t>
        </is>
      </c>
      <c r="D6" s="3">
        <v>3411.1</v>
      </c>
    </row>
    <row r="7">
      <c r="A7" s="7"/>
      <c r="B7" s="7"/>
      <c r="C7" s="7" t="inlineStr">
        <is>
          <t xml:space="preserve">Subtotal – A&amp;D Mortgage</t>
        </is>
      </c>
      <c r="D7" s="6">
        <f>SUM(D6:D6)</f>
        <v>3411.1</v>
      </c>
    </row>
    <row r="8">
      <c r="A8" s="4">
        <v>46195</v>
      </c>
      <c r="B8" s="2" t="inlineStr">
        <is>
          <t xml:space="preserve">St James 7134 Pap</t>
        </is>
      </c>
      <c r="C8" s="2" t="inlineStr">
        <is>
          <t xml:space="preserve">St. James Membership (Club)</t>
        </is>
      </c>
      <c r="D8" s="3">
        <v>1591.78</v>
      </c>
    </row>
    <row r="9">
      <c r="A9" s="7"/>
      <c r="B9" s="7"/>
      <c r="C9" s="7" t="inlineStr">
        <is>
          <t xml:space="preserve">Subtotal – St. James Membership (Club)</t>
        </is>
      </c>
      <c r="D9" s="6">
        <f>SUM(D8:D8)</f>
        <v>1591.78</v>
      </c>
    </row>
    <row r="10">
      <c r="A10" s="4">
        <v>46182</v>
      </c>
      <c r="B10" s="2" t="inlineStr">
        <is>
          <t xml:space="preserve">St James Plantat Assn Dues</t>
        </is>
      </c>
      <c r="C10" s="2" t="inlineStr">
        <is>
          <t xml:space="preserve">St. James Plantation POA Dues</t>
        </is>
      </c>
      <c r="D10" s="3">
        <v>692.95</v>
      </c>
    </row>
    <row r="11">
      <c r="A11" s="7"/>
      <c r="B11" s="7"/>
      <c r="C11" s="7" t="inlineStr">
        <is>
          <t xml:space="preserve">Subtotal – St. James Plantation POA Dues</t>
        </is>
      </c>
      <c r="D11" s="6">
        <f>SUM(D10:D10)</f>
        <v>692.95</v>
      </c>
    </row>
    <row r="12">
      <c r="A12" s="4">
        <v>46195</v>
      </c>
      <c r="B12" s="2" t="inlineStr">
        <is>
          <t xml:space="preserve">Allstate *Paymn</t>
        </is>
      </c>
      <c r="C12" s="2" t="inlineStr">
        <is>
          <t xml:space="preserve">Allstate Insurance</t>
        </is>
      </c>
      <c r="D12" s="3">
        <v>360.42</v>
      </c>
    </row>
    <row r="13">
      <c r="A13" s="7"/>
      <c r="B13" s="7"/>
      <c r="C13" s="7" t="inlineStr">
        <is>
          <t xml:space="preserve">Subtotal – Allstate Insurance</t>
        </is>
      </c>
      <c r="D13" s="6">
        <f>SUM(D12:D12)</f>
        <v>360.42</v>
      </c>
    </row>
    <row r="14">
      <c r="A14" s="4">
        <v>46190</v>
      </c>
      <c r="B14" s="2" t="inlineStr">
        <is>
          <t xml:space="preserve">+Lincoln Nationa EDI Pymnt</t>
        </is>
      </c>
      <c r="C14" s="2" t="inlineStr">
        <is>
          <t xml:space="preserve">Life Insurance (Lincoln National)</t>
        </is>
      </c>
      <c r="D14" s="3">
        <v>79.21</v>
      </c>
    </row>
    <row r="15">
      <c r="A15" s="7"/>
      <c r="B15" s="7"/>
      <c r="C15" s="7" t="inlineStr">
        <is>
          <t xml:space="preserve">Subtotal – Life Insurance (Lincoln National)</t>
        </is>
      </c>
      <c r="D15" s="6">
        <f>SUM(D14:D14)</f>
        <v>79.21</v>
      </c>
    </row>
    <row r="16">
      <c r="A16" s="4">
        <v>46181</v>
      </c>
      <c r="B16" s="2" t="inlineStr">
        <is>
          <t xml:space="preserve">Banner Life Prem Debit 17180884647</t>
        </is>
      </c>
      <c r="C16" s="2" t="inlineStr">
        <is>
          <t xml:space="preserve">Banner Life Insurance</t>
        </is>
      </c>
      <c r="D16" s="3">
        <v>710.06</v>
      </c>
    </row>
    <row r="17">
      <c r="A17" s="7"/>
      <c r="B17" s="7"/>
      <c r="C17" s="7" t="inlineStr">
        <is>
          <t xml:space="preserve">Subtotal – Banner Life Insurance</t>
        </is>
      </c>
      <c r="D17" s="6">
        <f>SUM(D16:D16)</f>
        <v>710.06</v>
      </c>
    </row>
    <row r="18">
      <c r="A18" s="4">
        <v>46169</v>
      </c>
      <c r="B18" s="2" t="inlineStr">
        <is>
          <t xml:space="preserve">Aci*Blue Cross NC Durham NC</t>
        </is>
      </c>
      <c r="C18" s="2" t="inlineStr">
        <is>
          <t xml:space="preserve">Health Insurance – Blue Cross NC</t>
        </is>
      </c>
      <c r="D18" s="3">
        <v>216.25</v>
      </c>
    </row>
    <row r="19">
      <c r="A19" s="7"/>
      <c r="B19" s="7"/>
      <c r="C19" s="7" t="inlineStr">
        <is>
          <t xml:space="preserve">Subtotal – Health Insurance – Blue Cross NC</t>
        </is>
      </c>
      <c r="D19" s="6">
        <f>SUM(D18:D18)</f>
        <v>216.25</v>
      </c>
    </row>
    <row r="20">
      <c r="A20" s="4">
        <v>46181</v>
      </c>
      <c r="B20" s="2" t="inlineStr">
        <is>
          <t xml:space="preserve">Delta Dental of Delta Dent</t>
        </is>
      </c>
      <c r="C20" s="2" t="inlineStr">
        <is>
          <t xml:space="preserve">Dental Insurance – Delta Dental</t>
        </is>
      </c>
      <c r="D20" s="3">
        <v>69.36</v>
      </c>
    </row>
    <row r="21">
      <c r="A21" s="7"/>
      <c r="B21" s="7"/>
      <c r="C21" s="7" t="inlineStr">
        <is>
          <t xml:space="preserve">Subtotal – Dental Insurance – Delta Dental</t>
        </is>
      </c>
      <c r="D21" s="6">
        <f>SUM(D20:D20)</f>
        <v>69.36</v>
      </c>
    </row>
    <row r="22">
      <c r="A22" s="4">
        <v>46183</v>
      </c>
      <c r="B22" s="2" t="inlineStr">
        <is>
          <t xml:space="preserve">Opc*Brunswick CO U</t>
        </is>
      </c>
      <c r="C22" s="2" t="inlineStr">
        <is>
          <t xml:space="preserve">Utility – Water/Sewer (Brunswick County)</t>
        </is>
      </c>
      <c r="D22" s="3">
        <v>75.89</v>
      </c>
    </row>
    <row r="23">
      <c r="A23" s="4">
        <v>46183</v>
      </c>
      <c r="B23" s="2" t="inlineStr">
        <is>
          <t xml:space="preserve">Opc Utl*Service Fe</t>
        </is>
      </c>
      <c r="C23" s="2" t="inlineStr">
        <is>
          <t xml:space="preserve">Utility – Water/Sewer (Brunswick County)</t>
        </is>
      </c>
      <c r="D23" s="3">
        <v>2.95</v>
      </c>
    </row>
    <row r="24">
      <c r="A24" s="7"/>
      <c r="B24" s="7"/>
      <c r="C24" s="7" t="inlineStr">
        <is>
          <t xml:space="preserve">Subtotal – Utility – Water/Sewer (Brunswick County)</t>
        </is>
      </c>
      <c r="D24" s="6">
        <f>SUM(D22:D23)</f>
        <v>78.84</v>
      </c>
    </row>
    <row r="25">
      <c r="A25" s="4">
        <v>46182</v>
      </c>
      <c r="B25" s="2" t="inlineStr">
        <is>
          <t xml:space="preserve">Focus Broadband Clover.Com NC</t>
        </is>
      </c>
      <c r="C25" s="2" t="inlineStr">
        <is>
          <t xml:space="preserve">Internet – Focus Broadband</t>
        </is>
      </c>
      <c r="D25" s="3">
        <v>80.79</v>
      </c>
    </row>
    <row r="26">
      <c r="A26" s="7"/>
      <c r="B26" s="7"/>
      <c r="C26" s="7" t="inlineStr">
        <is>
          <t xml:space="preserve">Subtotal – Internet – Focus Broadband</t>
        </is>
      </c>
      <c r="D26" s="6">
        <f>SUM(D25:D25)</f>
        <v>80.79</v>
      </c>
    </row>
    <row r="27">
      <c r="A27" s="4">
        <v>46195</v>
      </c>
      <c r="B27" s="2" t="inlineStr">
        <is>
          <t xml:space="preserve">Verizon Wireless Payments</t>
        </is>
      </c>
      <c r="C27" s="2" t="inlineStr">
        <is>
          <t xml:space="preserve">Verizon Wireless</t>
        </is>
      </c>
      <c r="D27" s="3">
        <v>294.57</v>
      </c>
    </row>
    <row r="28">
      <c r="A28" s="7"/>
      <c r="B28" s="7"/>
      <c r="C28" s="7" t="inlineStr">
        <is>
          <t xml:space="preserve">Subtotal – Verizon Wireless</t>
        </is>
      </c>
      <c r="D28" s="6">
        <f>SUM(D27:D27)</f>
        <v>294.57</v>
      </c>
    </row>
    <row r="29">
      <c r="A29" s="4">
        <v>46188</v>
      </c>
      <c r="B29" s="2" t="inlineStr">
        <is>
          <t xml:space="preserve">Dept Education Student Ln 0000</t>
        </is>
      </c>
      <c r="C29" s="2" t="inlineStr">
        <is>
          <t xml:space="preserve">Student Loan (Dept of Education)</t>
        </is>
      </c>
      <c r="D29" s="3">
        <v>160.37</v>
      </c>
    </row>
    <row r="30">
      <c r="A30" s="7"/>
      <c r="B30" s="7"/>
      <c r="C30" s="7" t="inlineStr">
        <is>
          <t xml:space="preserve">Subtotal – Student Loan (Dept of Education)</t>
        </is>
      </c>
      <c r="D30" s="6">
        <f>SUM(D29:D29)</f>
        <v>160.37</v>
      </c>
    </row>
    <row r="31">
      <c r="A31" s="4">
        <v>46171</v>
      </c>
      <c r="B31" s="2" t="inlineStr">
        <is>
          <t xml:space="preserve">Lowes Food #235 Bolivia NC</t>
        </is>
      </c>
      <c r="C31" s="2" t="inlineStr">
        <is>
          <t xml:space="preserve">Grocery – Lowes Foods</t>
        </is>
      </c>
      <c r="D31" s="3">
        <v>125.08</v>
      </c>
    </row>
    <row r="32">
      <c r="A32" s="4">
        <v>46174</v>
      </c>
      <c r="B32" s="2" t="inlineStr">
        <is>
          <t xml:space="preserve">Lowes Foods #27 Southport NC</t>
        </is>
      </c>
      <c r="C32" s="2" t="inlineStr">
        <is>
          <t xml:space="preserve">Grocery – Lowes Foods</t>
        </is>
      </c>
      <c r="D32" s="3">
        <v>37.15</v>
      </c>
    </row>
    <row r="33">
      <c r="A33" s="4">
        <v>46177</v>
      </c>
      <c r="B33" s="2" t="inlineStr">
        <is>
          <t xml:space="preserve">Lowes Foods #27 Southport NC</t>
        </is>
      </c>
      <c r="C33" s="2" t="inlineStr">
        <is>
          <t xml:space="preserve">Grocery – Lowes Foods</t>
        </is>
      </c>
      <c r="D33" s="3">
        <v>225.23</v>
      </c>
    </row>
    <row r="34">
      <c r="A34" s="4">
        <v>46184</v>
      </c>
      <c r="B34" s="2" t="inlineStr">
        <is>
          <t xml:space="preserve">Lowes Food #235 Bolivia NC</t>
        </is>
      </c>
      <c r="C34" s="2" t="inlineStr">
        <is>
          <t xml:space="preserve">Grocery – Lowes Foods</t>
        </is>
      </c>
      <c r="D34" s="3">
        <v>53.35</v>
      </c>
    </row>
    <row r="35">
      <c r="A35" s="4">
        <v>46185</v>
      </c>
      <c r="B35" s="2" t="inlineStr">
        <is>
          <t xml:space="preserve">Lowes Foods #27 Southport NC</t>
        </is>
      </c>
      <c r="C35" s="2" t="inlineStr">
        <is>
          <t xml:space="preserve">Grocery – Lowes Foods</t>
        </is>
      </c>
      <c r="D35" s="3">
        <v>370.59</v>
      </c>
    </row>
    <row r="36">
      <c r="A36" s="4">
        <v>46189</v>
      </c>
      <c r="B36" s="2" t="inlineStr">
        <is>
          <t xml:space="preserve">Lowe's Foods #1 Oak Island NC</t>
        </is>
      </c>
      <c r="C36" s="2" t="inlineStr">
        <is>
          <t xml:space="preserve">Grocery – Lowes Foods</t>
        </is>
      </c>
      <c r="D36" s="3">
        <v>54.04</v>
      </c>
    </row>
    <row r="37">
      <c r="A37" s="4">
        <v>46191</v>
      </c>
      <c r="B37" s="2" t="inlineStr">
        <is>
          <t xml:space="preserve">Lowe's Foods #1 Oak Island NC</t>
        </is>
      </c>
      <c r="C37" s="2" t="inlineStr">
        <is>
          <t xml:space="preserve">Grocery – Lowes Foods</t>
        </is>
      </c>
      <c r="D37" s="3">
        <v>54.62</v>
      </c>
    </row>
    <row r="38">
      <c r="A38" s="4">
        <v>46195</v>
      </c>
      <c r="B38" s="2" t="inlineStr">
        <is>
          <t xml:space="preserve">Lowes Foods #27 Southport NC</t>
        </is>
      </c>
      <c r="C38" s="2" t="inlineStr">
        <is>
          <t xml:space="preserve">Grocery – Lowes Foods</t>
        </is>
      </c>
      <c r="D38" s="3">
        <v>225.63</v>
      </c>
    </row>
    <row r="39">
      <c r="A39" s="7"/>
      <c r="B39" s="7"/>
      <c r="C39" s="7" t="inlineStr">
        <is>
          <t xml:space="preserve">Subtotal – Grocery – Lowes Foods</t>
        </is>
      </c>
      <c r="D39" s="6">
        <f>SUM(D31:D38)</f>
        <v>1145.69</v>
      </c>
    </row>
    <row r="40">
      <c r="A40" s="4">
        <v>46190</v>
      </c>
      <c r="B40" s="2" t="inlineStr">
        <is>
          <t xml:space="preserve">Publix #1703 Oak Island NC</t>
        </is>
      </c>
      <c r="C40" s="2" t="inlineStr">
        <is>
          <t xml:space="preserve">Grocery – Publix</t>
        </is>
      </c>
      <c r="D40" s="3">
        <v>120.71</v>
      </c>
    </row>
    <row r="41">
      <c r="A41" s="7"/>
      <c r="B41" s="7"/>
      <c r="C41" s="7" t="inlineStr">
        <is>
          <t xml:space="preserve">Subtotal – Grocery – Publix</t>
        </is>
      </c>
      <c r="D41" s="6">
        <f>SUM(D40:D40)</f>
        <v>120.71</v>
      </c>
    </row>
    <row r="42">
      <c r="A42" s="4">
        <v>46190</v>
      </c>
      <c r="B42" s="2" t="inlineStr">
        <is>
          <t xml:space="preserve">Harris Teeter #0258 Charlotte</t>
        </is>
      </c>
      <c r="C42" s="2" t="inlineStr">
        <is>
          <t xml:space="preserve">Other Food Stores (Harris Teeter, Beach Pantry)</t>
        </is>
      </c>
      <c r="D42" s="3">
        <v>177.33</v>
      </c>
    </row>
    <row r="43">
      <c r="A43" s="4">
        <v>46190</v>
      </c>
      <c r="B43" s="2" t="inlineStr">
        <is>
          <t xml:space="preserve">Harris Teeter #2 8644 Uni</t>
        </is>
      </c>
      <c r="C43" s="2" t="inlineStr">
        <is>
          <t xml:space="preserve">Other Food Stores (Harris Teeter, Beach Pantry)</t>
        </is>
      </c>
      <c r="D43" s="3">
        <v>86.02</v>
      </c>
    </row>
    <row r="44">
      <c r="A44" s="7"/>
      <c r="B44" s="7"/>
      <c r="C44" s="7" t="inlineStr">
        <is>
          <t xml:space="preserve">Subtotal – Other Food Stores (Harris Teeter, Beach Pantry)</t>
        </is>
      </c>
      <c r="D44" s="6">
        <f>SUM(D42:D43)</f>
        <v>263.35</v>
      </c>
    </row>
    <row r="45">
      <c r="A45" s="4">
        <v>46169</v>
      </c>
      <c r="B45" s="2" t="inlineStr">
        <is>
          <t xml:space="preserve">Chipotle 4232 Conway SC</t>
        </is>
      </c>
      <c r="C45" s="2" t="inlineStr">
        <is>
          <t xml:space="preserve">Restaurants &amp; Takeout</t>
        </is>
      </c>
      <c r="D45" s="3">
        <v>24.53</v>
      </c>
    </row>
    <row r="46">
      <c r="A46" s="4">
        <v>46170</v>
      </c>
      <c r="B46" s="2" t="inlineStr">
        <is>
          <t xml:space="preserve">Chick-Fil-A #04769 Shallotte NC</t>
        </is>
      </c>
      <c r="C46" s="2" t="inlineStr">
        <is>
          <t xml:space="preserve">Restaurants &amp; Takeout</t>
        </is>
      </c>
      <c r="D46" s="3">
        <v>11.2</v>
      </c>
    </row>
    <row r="47">
      <c r="A47" s="4">
        <v>46170</v>
      </c>
      <c r="B47" s="2" t="inlineStr">
        <is>
          <t xml:space="preserve">Dairy Queen #15351 Supply NC</t>
        </is>
      </c>
      <c r="C47" s="2" t="inlineStr">
        <is>
          <t xml:space="preserve">Restaurants &amp; Takeout</t>
        </is>
      </c>
      <c r="D47" s="3">
        <v>7.35</v>
      </c>
    </row>
    <row r="48">
      <c r="A48" s="4">
        <v>46174</v>
      </c>
      <c r="B48" s="2" t="inlineStr">
        <is>
          <t xml:space="preserve">DD *Doordash Bella</t>
        </is>
      </c>
      <c r="C48" s="2" t="inlineStr">
        <is>
          <t xml:space="preserve">Restaurants &amp; Takeout</t>
        </is>
      </c>
      <c r="D48" s="3">
        <v>62.84</v>
      </c>
    </row>
    <row r="49">
      <c r="A49" s="4">
        <v>46174</v>
      </c>
      <c r="B49" s="2" t="inlineStr">
        <is>
          <t xml:space="preserve">Lil &amp; Johnssweetreat 2 Oak</t>
        </is>
      </c>
      <c r="C49" s="2" t="inlineStr">
        <is>
          <t xml:space="preserve">Restaurants &amp; Takeout</t>
        </is>
      </c>
      <c r="D49" s="3">
        <v>22.1</v>
      </c>
    </row>
    <row r="50">
      <c r="A50" s="4">
        <v>46174</v>
      </c>
      <c r="B50" s="2" t="inlineStr">
        <is>
          <t xml:space="preserve">DD *Doordash Sanfe</t>
        </is>
      </c>
      <c r="C50" s="2" t="inlineStr">
        <is>
          <t xml:space="preserve">Restaurants &amp; Takeout</t>
        </is>
      </c>
      <c r="D50" s="3">
        <v>79.54</v>
      </c>
    </row>
    <row r="51">
      <c r="A51" s="4">
        <v>46174</v>
      </c>
      <c r="B51" s="2" t="inlineStr">
        <is>
          <t xml:space="preserve">Lil &amp; Johnssweetreat 2 Oak</t>
        </is>
      </c>
      <c r="C51" s="2" t="inlineStr">
        <is>
          <t xml:space="preserve">Restaurants &amp; Takeout</t>
        </is>
      </c>
      <c r="D51" s="3">
        <v>9.82</v>
      </c>
    </row>
    <row r="52">
      <c r="A52" s="4">
        <v>46175</v>
      </c>
      <c r="B52" s="2" t="inlineStr">
        <is>
          <t xml:space="preserve">Par*Drift Coffee &amp; Wilmington</t>
        </is>
      </c>
      <c r="C52" s="2" t="inlineStr">
        <is>
          <t xml:space="preserve">Restaurants &amp; Takeout</t>
        </is>
      </c>
      <c r="D52" s="3">
        <v>29.61</v>
      </c>
    </row>
    <row r="53">
      <c r="A53" s="4">
        <v>46175</v>
      </c>
      <c r="B53" s="2" t="inlineStr">
        <is>
          <t xml:space="preserve">Starbucks 18295 Wilmington NC</t>
        </is>
      </c>
      <c r="C53" s="2" t="inlineStr">
        <is>
          <t xml:space="preserve">Restaurants &amp; Takeout</t>
        </is>
      </c>
      <c r="D53" s="3">
        <v>6.23</v>
      </c>
    </row>
    <row r="54">
      <c r="A54" s="4">
        <v>46176</v>
      </c>
      <c r="B54" s="2" t="inlineStr">
        <is>
          <t xml:space="preserve">McDonald's F16312 Sunset</t>
        </is>
      </c>
      <c r="C54" s="2" t="inlineStr">
        <is>
          <t xml:space="preserve">Restaurants &amp; Takeout</t>
        </is>
      </c>
      <c r="D54" s="3">
        <v>8.51</v>
      </c>
    </row>
    <row r="55">
      <c r="A55" s="4">
        <v>46176</v>
      </c>
      <c r="B55" s="2" t="inlineStr">
        <is>
          <t xml:space="preserve">Ctlp*Pepsi Bottlin Raleigh NC</t>
        </is>
      </c>
      <c r="C55" s="2" t="inlineStr">
        <is>
          <t xml:space="preserve">Restaurants &amp; Takeout</t>
        </is>
      </c>
      <c r="D55" s="3">
        <v>2.15</v>
      </c>
    </row>
    <row r="56">
      <c r="A56" s="4">
        <v>46176</v>
      </c>
      <c r="B56" s="2" t="inlineStr">
        <is>
          <t xml:space="preserve">Ctlp*Pepsi Bottlin Raleigh NC</t>
        </is>
      </c>
      <c r="C56" s="2" t="inlineStr">
        <is>
          <t xml:space="preserve">Restaurants &amp; Takeout</t>
        </is>
      </c>
      <c r="D56" s="3">
        <v>2.15</v>
      </c>
    </row>
    <row r="57">
      <c r="A57" s="4">
        <v>46177</v>
      </c>
      <c r="B57" s="2" t="inlineStr">
        <is>
          <t xml:space="preserve">Tst* The Grumpy MO Myrtle</t>
        </is>
      </c>
      <c r="C57" s="2" t="inlineStr">
        <is>
          <t xml:space="preserve">Restaurants &amp; Takeout</t>
        </is>
      </c>
      <c r="D57" s="3">
        <v>35.94</v>
      </c>
    </row>
    <row r="58">
      <c r="A58" s="4">
        <v>46177</v>
      </c>
      <c r="B58" s="2" t="inlineStr">
        <is>
          <t xml:space="preserve">McDonald's F35966 Supply NC</t>
        </is>
      </c>
      <c r="C58" s="2" t="inlineStr">
        <is>
          <t xml:space="preserve">Restaurants &amp; Takeout</t>
        </is>
      </c>
      <c r="D58" s="3">
        <v>7.55</v>
      </c>
    </row>
    <row r="59">
      <c r="A59" s="4">
        <v>46178</v>
      </c>
      <c r="B59" s="2" t="inlineStr">
        <is>
          <t xml:space="preserve">DD *Doordash Bella</t>
        </is>
      </c>
      <c r="C59" s="2" t="inlineStr">
        <is>
          <t xml:space="preserve">Restaurants &amp; Takeout</t>
        </is>
      </c>
      <c r="D59" s="3">
        <v>67.98</v>
      </c>
    </row>
    <row r="60">
      <c r="A60" s="4">
        <v>46181</v>
      </c>
      <c r="B60" s="2" t="inlineStr">
        <is>
          <t xml:space="preserve">Subway 69604 Bolivia NC</t>
        </is>
      </c>
      <c r="C60" s="2" t="inlineStr">
        <is>
          <t xml:space="preserve">Restaurants &amp; Takeout</t>
        </is>
      </c>
      <c r="D60" s="3">
        <v>12.9</v>
      </c>
    </row>
    <row r="61">
      <c r="A61" s="4">
        <v>46181</v>
      </c>
      <c r="B61" s="2" t="inlineStr">
        <is>
          <t xml:space="preserve">McDonald's F7702 Southport NC</t>
        </is>
      </c>
      <c r="C61" s="2" t="inlineStr">
        <is>
          <t xml:space="preserve">Restaurants &amp; Takeout</t>
        </is>
      </c>
      <c r="D61" s="3">
        <v>10.34</v>
      </c>
    </row>
    <row r="62">
      <c r="A62" s="4">
        <v>46182</v>
      </c>
      <c r="B62" s="2" t="inlineStr">
        <is>
          <t xml:space="preserve">365 Market H 888 4 Troy MI</t>
        </is>
      </c>
      <c r="C62" s="2" t="inlineStr">
        <is>
          <t xml:space="preserve">Restaurants &amp; Takeout</t>
        </is>
      </c>
      <c r="D62" s="3">
        <v>5.08</v>
      </c>
    </row>
    <row r="63">
      <c r="A63" s="4">
        <v>46182</v>
      </c>
      <c r="B63" s="2" t="inlineStr">
        <is>
          <t xml:space="preserve">DD *Doordash Seasi</t>
        </is>
      </c>
      <c r="C63" s="2" t="inlineStr">
        <is>
          <t xml:space="preserve">Restaurants &amp; Takeout</t>
        </is>
      </c>
      <c r="D63" s="3">
        <v>34.5</v>
      </c>
    </row>
    <row r="64">
      <c r="A64" s="4">
        <v>46184</v>
      </c>
      <c r="B64" s="2" t="inlineStr">
        <is>
          <t xml:space="preserve">Tst* Greek Fiesta Cary NC</t>
        </is>
      </c>
      <c r="C64" s="2" t="inlineStr">
        <is>
          <t xml:space="preserve">Restaurants &amp; Takeout</t>
        </is>
      </c>
      <c r="D64" s="3">
        <v>36.53</v>
      </c>
    </row>
    <row r="65">
      <c r="A65" s="4">
        <v>46184</v>
      </c>
      <c r="B65" s="2" t="inlineStr">
        <is>
          <t xml:space="preserve">Cold Stone Creamer</t>
        </is>
      </c>
      <c r="C65" s="2" t="inlineStr">
        <is>
          <t xml:space="preserve">Restaurants &amp; Takeout</t>
        </is>
      </c>
      <c r="D65" s="3">
        <v>15.14</v>
      </c>
    </row>
    <row r="66">
      <c r="A66" s="4">
        <v>46184</v>
      </c>
      <c r="B66" s="2" t="inlineStr">
        <is>
          <t xml:space="preserve">McDonald's F11779 Oxford NC</t>
        </is>
      </c>
      <c r="C66" s="2" t="inlineStr">
        <is>
          <t xml:space="preserve">Restaurants &amp; Takeout</t>
        </is>
      </c>
      <c r="D66" s="3">
        <v>11.07</v>
      </c>
    </row>
    <row r="67">
      <c r="A67" s="4">
        <v>46185</v>
      </c>
      <c r="B67" s="2" t="inlineStr">
        <is>
          <t xml:space="preserve">Wendys 1359 Creedmoor NC</t>
        </is>
      </c>
      <c r="C67" s="2" t="inlineStr">
        <is>
          <t xml:space="preserve">Restaurants &amp; Takeout</t>
        </is>
      </c>
      <c r="D67" s="3">
        <v>5.33</v>
      </c>
    </row>
    <row r="68">
      <c r="A68" s="4">
        <v>46185</v>
      </c>
      <c r="B68" s="2" t="inlineStr">
        <is>
          <t xml:space="preserve">Wendys 1359 Creedmoor NC</t>
        </is>
      </c>
      <c r="C68" s="2" t="inlineStr">
        <is>
          <t xml:space="preserve">Restaurants &amp; Takeout</t>
        </is>
      </c>
      <c r="D68" s="3">
        <v>3.41</v>
      </c>
    </row>
    <row r="69">
      <c r="A69" s="4">
        <v>46185</v>
      </c>
      <c r="B69" s="2" t="inlineStr">
        <is>
          <t xml:space="preserve">Wendys 1359 Creedmoor NC</t>
        </is>
      </c>
      <c r="C69" s="2" t="inlineStr">
        <is>
          <t xml:space="preserve">Restaurants &amp; Takeout</t>
        </is>
      </c>
      <c r="D69" s="3">
        <v>2.76</v>
      </c>
    </row>
    <row r="70">
      <c r="A70" s="4">
        <v>46185</v>
      </c>
      <c r="B70" s="2" t="inlineStr">
        <is>
          <t xml:space="preserve">Whataburger 1644 Garner NC</t>
        </is>
      </c>
      <c r="C70" s="2" t="inlineStr">
        <is>
          <t xml:space="preserve">Restaurants &amp; Takeout</t>
        </is>
      </c>
      <c r="D70" s="3">
        <v>22.45</v>
      </c>
    </row>
    <row r="71">
      <c r="A71" s="4">
        <v>46185</v>
      </c>
      <c r="B71" s="2" t="inlineStr">
        <is>
          <t xml:space="preserve">Jersey Mikes 3265 Oak Island NC</t>
        </is>
      </c>
      <c r="C71" s="2" t="inlineStr">
        <is>
          <t xml:space="preserve">Restaurants &amp; Takeout</t>
        </is>
      </c>
      <c r="D71" s="3">
        <v>22.94</v>
      </c>
    </row>
    <row r="72">
      <c r="A72" s="4">
        <v>46188</v>
      </c>
      <c r="B72" s="2" t="inlineStr">
        <is>
          <t xml:space="preserve">DD *Doordash Sanfe</t>
        </is>
      </c>
      <c r="C72" s="2" t="inlineStr">
        <is>
          <t xml:space="preserve">Restaurants &amp; Takeout</t>
        </is>
      </c>
      <c r="D72" s="3">
        <v>50.42</v>
      </c>
    </row>
    <row r="73">
      <c r="A73" s="4">
        <v>46190</v>
      </c>
      <c r="B73" s="2" t="inlineStr">
        <is>
          <t xml:space="preserve">Tst*Lucca Italian Shallotte NC</t>
        </is>
      </c>
      <c r="C73" s="2" t="inlineStr">
        <is>
          <t xml:space="preserve">Restaurants &amp; Takeout</t>
        </is>
      </c>
      <c r="D73" s="3">
        <v>77.05</v>
      </c>
    </row>
    <row r="74">
      <c r="A74" s="4">
        <v>46190</v>
      </c>
      <c r="B74" s="2" t="inlineStr">
        <is>
          <t xml:space="preserve">DD/Br #338554 Q35 Little River</t>
        </is>
      </c>
      <c r="C74" s="2" t="inlineStr">
        <is>
          <t xml:space="preserve">Restaurants &amp; Takeout</t>
        </is>
      </c>
      <c r="D74" s="3">
        <v>11.23</v>
      </c>
    </row>
    <row r="75">
      <c r="A75" s="4">
        <v>46190</v>
      </c>
      <c r="B75" s="2" t="inlineStr">
        <is>
          <t xml:space="preserve">Tst*Little Pigs Bb Myrtle Beach</t>
        </is>
      </c>
      <c r="C75" s="2" t="inlineStr">
        <is>
          <t xml:space="preserve">Restaurants &amp; Takeout</t>
        </is>
      </c>
      <c r="D75" s="3">
        <v>15.47</v>
      </c>
    </row>
    <row r="76">
      <c r="A76" s="4">
        <v>46191</v>
      </c>
      <c r="B76" s="2" t="inlineStr">
        <is>
          <t xml:space="preserve">Blaze Pizza #1196 Charlotte NC</t>
        </is>
      </c>
      <c r="C76" s="2" t="inlineStr">
        <is>
          <t xml:space="preserve">Restaurants &amp; Takeout</t>
        </is>
      </c>
      <c r="D76" s="3">
        <v>16.17</v>
      </c>
    </row>
    <row r="77">
      <c r="A77" s="4">
        <v>46191</v>
      </c>
      <c r="B77" s="2" t="inlineStr">
        <is>
          <t xml:space="preserve">Tst* Famous Toaste Charlotte NC</t>
        </is>
      </c>
      <c r="C77" s="2" t="inlineStr">
        <is>
          <t xml:space="preserve">Restaurants &amp; Takeout</t>
        </is>
      </c>
      <c r="D77" s="3">
        <v>43.94</v>
      </c>
    </row>
    <row r="78">
      <c r="A78" s="4">
        <v>46195</v>
      </c>
      <c r="B78" s="2" t="inlineStr">
        <is>
          <t xml:space="preserve">Tst* Boardwalk Bil Charlotte NC</t>
        </is>
      </c>
      <c r="C78" s="2" t="inlineStr">
        <is>
          <t xml:space="preserve">Restaurants &amp; Takeout</t>
        </is>
      </c>
      <c r="D78" s="3">
        <v>21.12</v>
      </c>
    </row>
    <row r="79">
      <c r="A79" s="4">
        <v>46195</v>
      </c>
      <c r="B79" s="2" t="inlineStr">
        <is>
          <t xml:space="preserve">Tst* Boardwalk Bil Charlotte NC</t>
        </is>
      </c>
      <c r="C79" s="2" t="inlineStr">
        <is>
          <t xml:space="preserve">Restaurants &amp; Takeout</t>
        </is>
      </c>
      <c r="D79" s="3">
        <v>71.4</v>
      </c>
    </row>
    <row r="80">
      <c r="A80" s="4">
        <v>46195</v>
      </c>
      <c r="B80" s="2" t="inlineStr">
        <is>
          <t xml:space="preserve">Chipotle 3125 Charlotte NC</t>
        </is>
      </c>
      <c r="C80" s="2" t="inlineStr">
        <is>
          <t xml:space="preserve">Restaurants &amp; Takeout</t>
        </is>
      </c>
      <c r="D80" s="3">
        <v>27.17</v>
      </c>
    </row>
    <row r="81">
      <c r="A81" s="4">
        <v>46195</v>
      </c>
      <c r="B81" s="2" t="inlineStr">
        <is>
          <t xml:space="preserve">Tst*Johnny Dollars Charlotte NC</t>
        </is>
      </c>
      <c r="C81" s="2" t="inlineStr">
        <is>
          <t xml:space="preserve">Restaurants &amp; Takeout</t>
        </is>
      </c>
      <c r="D81" s="3">
        <v>22.99</v>
      </c>
    </row>
    <row r="82">
      <c r="A82" s="4">
        <v>46195</v>
      </c>
      <c r="B82" s="2" t="inlineStr">
        <is>
          <t xml:space="preserve">Tst*The Brickyard Charlotte NC</t>
        </is>
      </c>
      <c r="C82" s="2" t="inlineStr">
        <is>
          <t xml:space="preserve">Restaurants &amp; Takeout</t>
        </is>
      </c>
      <c r="D82" s="3">
        <v>9.24</v>
      </c>
    </row>
    <row r="83">
      <c r="A83" s="4">
        <v>46195</v>
      </c>
      <c r="B83" s="2" t="inlineStr">
        <is>
          <t xml:space="preserve">Tst*The Brickyard Charlotte NC</t>
        </is>
      </c>
      <c r="C83" s="2" t="inlineStr">
        <is>
          <t xml:space="preserve">Restaurants &amp; Takeout</t>
        </is>
      </c>
      <c r="D83" s="3">
        <v>9.24</v>
      </c>
    </row>
    <row r="84">
      <c r="A84" s="4">
        <v>46195</v>
      </c>
      <c r="B84" s="2" t="inlineStr">
        <is>
          <t xml:space="preserve">Tst*The Brickyard Charlotte NC</t>
        </is>
      </c>
      <c r="C84" s="2" t="inlineStr">
        <is>
          <t xml:space="preserve">Restaurants &amp; Takeout</t>
        </is>
      </c>
      <c r="D84" s="3">
        <v>9.24</v>
      </c>
    </row>
    <row r="85">
      <c r="A85" s="4">
        <v>46195</v>
      </c>
      <c r="B85" s="2" t="inlineStr">
        <is>
          <t xml:space="preserve">Tst*The Brickyard Charlotte NC</t>
        </is>
      </c>
      <c r="C85" s="2" t="inlineStr">
        <is>
          <t xml:space="preserve">Restaurants &amp; Takeout</t>
        </is>
      </c>
      <c r="D85" s="3">
        <v>9.24</v>
      </c>
    </row>
    <row r="86">
      <c r="A86" s="4">
        <v>46195</v>
      </c>
      <c r="B86" s="2" t="inlineStr">
        <is>
          <t xml:space="preserve">Tst*The Brickyard Charlotte NC</t>
        </is>
      </c>
      <c r="C86" s="2" t="inlineStr">
        <is>
          <t xml:space="preserve">Restaurants &amp; Takeout</t>
        </is>
      </c>
      <c r="D86" s="3">
        <v>8.59</v>
      </c>
    </row>
    <row r="87">
      <c r="A87" s="4">
        <v>46195</v>
      </c>
      <c r="B87" s="2" t="inlineStr">
        <is>
          <t xml:space="preserve">Tst*The Brickyard Charlotte NC</t>
        </is>
      </c>
      <c r="C87" s="2" t="inlineStr">
        <is>
          <t xml:space="preserve">Restaurants &amp; Takeout</t>
        </is>
      </c>
      <c r="D87" s="3">
        <v>9.24</v>
      </c>
    </row>
    <row r="88">
      <c r="A88" s="4">
        <v>46195</v>
      </c>
      <c r="B88" s="2" t="inlineStr">
        <is>
          <t xml:space="preserve">Tst*The Brickyard Charlotte NC</t>
        </is>
      </c>
      <c r="C88" s="2" t="inlineStr">
        <is>
          <t xml:space="preserve">Restaurants &amp; Takeout</t>
        </is>
      </c>
      <c r="D88" s="3">
        <v>8.91</v>
      </c>
    </row>
    <row r="89">
      <c r="A89" s="4">
        <v>46195</v>
      </c>
      <c r="B89" s="2" t="inlineStr">
        <is>
          <t xml:space="preserve">Tst*The Brickyard Charlotte NC</t>
        </is>
      </c>
      <c r="C89" s="2" t="inlineStr">
        <is>
          <t xml:space="preserve">Restaurants &amp; Takeout</t>
        </is>
      </c>
      <c r="D89" s="3">
        <v>9.24</v>
      </c>
    </row>
    <row r="90">
      <c r="A90" s="4">
        <v>46195</v>
      </c>
      <c r="B90" s="2" t="inlineStr">
        <is>
          <t xml:space="preserve">McDonald's F5192 Wadesboro</t>
        </is>
      </c>
      <c r="C90" s="2" t="inlineStr">
        <is>
          <t xml:space="preserve">Restaurants &amp; Takeout</t>
        </is>
      </c>
      <c r="D90" s="3">
        <v>8.66</v>
      </c>
    </row>
    <row r="91">
      <c r="A91" s="4">
        <v>46195</v>
      </c>
      <c r="B91" s="2" t="inlineStr">
        <is>
          <t xml:space="preserve">Tst*Lucca Italian Shallotte NC</t>
        </is>
      </c>
      <c r="C91" s="2" t="inlineStr">
        <is>
          <t xml:space="preserve">Restaurants &amp; Takeout</t>
        </is>
      </c>
      <c r="D91" s="3">
        <v>20.94</v>
      </c>
    </row>
    <row r="92">
      <c r="A92" s="7"/>
      <c r="B92" s="7"/>
      <c r="C92" s="7" t="inlineStr">
        <is>
          <t xml:space="preserve">Subtotal – Restaurants &amp; Takeout</t>
        </is>
      </c>
      <c r="D92" s="6">
        <f>SUM(D45:D91)</f>
        <v>1019.45</v>
      </c>
    </row>
    <row r="93">
      <c r="A93" s="4">
        <v>46178</v>
      </c>
      <c r="B93" s="2" t="inlineStr">
        <is>
          <t xml:space="preserve">Bp#1820398Han-D Bolivia NC</t>
        </is>
      </c>
      <c r="C93" s="2" t="inlineStr">
        <is>
          <t xml:space="preserve">Gas &amp; Convenience Stores</t>
        </is>
      </c>
      <c r="D93" s="3">
        <v>4.78</v>
      </c>
    </row>
    <row r="94">
      <c r="A94" s="4">
        <v>46182</v>
      </c>
      <c r="B94" s="2" t="inlineStr">
        <is>
          <t xml:space="preserve">Hh 21 Winnabow NC</t>
        </is>
      </c>
      <c r="C94" s="2" t="inlineStr">
        <is>
          <t xml:space="preserve">Gas &amp; Convenience Stores</t>
        </is>
      </c>
      <c r="D94" s="3">
        <v>6.39</v>
      </c>
    </row>
    <row r="95">
      <c r="A95" s="4">
        <v>46183</v>
      </c>
      <c r="B95" s="2" t="inlineStr">
        <is>
          <t xml:space="preserve">Wawa 6129 Garner NC</t>
        </is>
      </c>
      <c r="C95" s="2" t="inlineStr">
        <is>
          <t xml:space="preserve">Gas &amp; Convenience Stores</t>
        </is>
      </c>
      <c r="D95" s="3">
        <v>53.61</v>
      </c>
    </row>
    <row r="96">
      <c r="A96" s="4">
        <v>46189</v>
      </c>
      <c r="B96" s="2" t="inlineStr">
        <is>
          <t xml:space="preserve">Bp#2000867Rods Wadesboro</t>
        </is>
      </c>
      <c r="C96" s="2" t="inlineStr">
        <is>
          <t xml:space="preserve">Gas &amp; Convenience Stores</t>
        </is>
      </c>
      <c r="D96" s="3">
        <v>8.54</v>
      </c>
    </row>
    <row r="97">
      <c r="A97" s="4">
        <v>46195</v>
      </c>
      <c r="B97" s="2" t="inlineStr">
        <is>
          <t xml:space="preserve">Anson Mart Citgo Wadesboro</t>
        </is>
      </c>
      <c r="C97" s="2" t="inlineStr">
        <is>
          <t xml:space="preserve">Gas &amp; Convenience Stores</t>
        </is>
      </c>
      <c r="D97" s="3">
        <v>30.0</v>
      </c>
    </row>
    <row r="98">
      <c r="A98" s="4">
        <v>46195</v>
      </c>
      <c r="B98" s="2" t="inlineStr">
        <is>
          <t xml:space="preserve">Bp#6458525Sam's Pi Bolton NC</t>
        </is>
      </c>
      <c r="C98" s="2" t="inlineStr">
        <is>
          <t xml:space="preserve">Gas &amp; Convenience Stores</t>
        </is>
      </c>
      <c r="D98" s="3">
        <v>5.58</v>
      </c>
    </row>
    <row r="99">
      <c r="A99" s="7"/>
      <c r="B99" s="7"/>
      <c r="C99" s="7" t="inlineStr">
        <is>
          <t xml:space="preserve">Subtotal – Gas &amp; Convenience Stores</t>
        </is>
      </c>
      <c r="D99" s="6">
        <f>SUM(D93:D98)</f>
        <v>108.9</v>
      </c>
    </row>
    <row r="100">
      <c r="A100" s="4">
        <v>46182</v>
      </c>
      <c r="B100" s="2" t="inlineStr">
        <is>
          <t xml:space="preserve">NC Quick Pass 877-769-7277 NC</t>
        </is>
      </c>
      <c r="C100" s="2" t="inlineStr">
        <is>
          <t xml:space="preserve">Tolls &amp; Parking</t>
        </is>
      </c>
      <c r="D100" s="3">
        <v>5.84</v>
      </c>
    </row>
    <row r="101">
      <c r="A101" s="7"/>
      <c r="B101" s="7"/>
      <c r="C101" s="7" t="inlineStr">
        <is>
          <t xml:space="preserve">Subtotal – Tolls &amp; Parking</t>
        </is>
      </c>
      <c r="D101" s="6">
        <f>SUM(D100:D100)</f>
        <v>5.84</v>
      </c>
    </row>
    <row r="102">
      <c r="A102" s="4">
        <v>46171</v>
      </c>
      <c r="B102" s="2" t="inlineStr">
        <is>
          <t xml:space="preserve">Google *Youtube Tv</t>
        </is>
      </c>
      <c r="C102" s="2" t="inlineStr">
        <is>
          <t xml:space="preserve">Streaming – YouTube TV (Google)</t>
        </is>
      </c>
      <c r="D102" s="3">
        <v>89.0</v>
      </c>
    </row>
    <row r="103">
      <c r="A103" s="4">
        <v>46171</v>
      </c>
      <c r="B103" s="2" t="inlineStr">
        <is>
          <t xml:space="preserve">Google *Youtube Tv</t>
        </is>
      </c>
      <c r="C103" s="2" t="inlineStr">
        <is>
          <t xml:space="preserve">Streaming – YouTube TV (Google)</t>
        </is>
      </c>
      <c r="D103" s="3">
        <v>11.78</v>
      </c>
    </row>
    <row r="104">
      <c r="A104" s="7"/>
      <c r="B104" s="7"/>
      <c r="C104" s="7" t="inlineStr">
        <is>
          <t xml:space="preserve">Subtotal – Streaming – YouTube TV (Google)</t>
        </is>
      </c>
      <c r="D104" s="6">
        <f>SUM(D102:D103)</f>
        <v>100.78</v>
      </c>
    </row>
    <row r="105">
      <c r="A105" s="4">
        <v>46188</v>
      </c>
      <c r="B105" s="2" t="inlineStr">
        <is>
          <t xml:space="preserve">Espn 800-7271800 NY</t>
        </is>
      </c>
      <c r="C105" s="2" t="inlineStr">
        <is>
          <t xml:space="preserve">Streaming – ESPN (Sept billed as Disney Plus)</t>
        </is>
      </c>
      <c r="D105" s="3">
        <v>13.87</v>
      </c>
    </row>
    <row r="106">
      <c r="A106" s="7"/>
      <c r="B106" s="7"/>
      <c r="C106" s="7" t="inlineStr">
        <is>
          <t xml:space="preserve">Subtotal – Streaming – ESPN (Sept billed as Disney Plus)</t>
        </is>
      </c>
      <c r="D106" s="6">
        <f>SUM(D105:D105)</f>
        <v>13.87</v>
      </c>
    </row>
    <row r="107">
      <c r="A107" s="4">
        <v>46171</v>
      </c>
      <c r="B107" s="2" t="inlineStr">
        <is>
          <t xml:space="preserve">Roku for Disney El</t>
        </is>
      </c>
      <c r="C107" s="2" t="inlineStr">
        <is>
          <t xml:space="preserve">Streaming – Disney (via Roku)</t>
        </is>
      </c>
      <c r="D107" s="3">
        <v>20.27</v>
      </c>
    </row>
    <row r="108">
      <c r="A108" s="7"/>
      <c r="B108" s="7"/>
      <c r="C108" s="7" t="inlineStr">
        <is>
          <t xml:space="preserve">Subtotal – Streaming – Disney (via Roku)</t>
        </is>
      </c>
      <c r="D108" s="6">
        <f>SUM(D107:D107)</f>
        <v>20.27</v>
      </c>
    </row>
    <row r="109">
      <c r="A109" s="4">
        <v>46195</v>
      </c>
      <c r="B109" s="2" t="inlineStr">
        <is>
          <t xml:space="preserve">Help.Hbomax.Com</t>
        </is>
      </c>
      <c r="C109" s="2" t="inlineStr">
        <is>
          <t xml:space="preserve">Streaming – HBO Max</t>
        </is>
      </c>
      <c r="D109" s="3">
        <v>19.74</v>
      </c>
    </row>
    <row r="110">
      <c r="A110" s="7"/>
      <c r="B110" s="7"/>
      <c r="C110" s="7" t="inlineStr">
        <is>
          <t xml:space="preserve">Subtotal – Streaming – HBO Max</t>
        </is>
      </c>
      <c r="D110" s="6">
        <f>SUM(D109:D109)</f>
        <v>19.74</v>
      </c>
    </row>
    <row r="111">
      <c r="A111" s="4">
        <v>46195</v>
      </c>
      <c r="B111" s="2" t="inlineStr">
        <is>
          <t xml:space="preserve">Roku for Peacock T</t>
        </is>
      </c>
      <c r="C111" s="2" t="inlineStr">
        <is>
          <t xml:space="preserve">Streaming – Peacock (via Roku)</t>
        </is>
      </c>
      <c r="D111" s="3">
        <v>11.73</v>
      </c>
    </row>
    <row r="112">
      <c r="A112" s="7"/>
      <c r="B112" s="7"/>
      <c r="C112" s="7" t="inlineStr">
        <is>
          <t xml:space="preserve">Subtotal – Streaming – Peacock (via Roku)</t>
        </is>
      </c>
      <c r="D112" s="6">
        <f>SUM(D111:D111)</f>
        <v>11.73</v>
      </c>
    </row>
    <row r="113">
      <c r="A113" s="4">
        <v>46178</v>
      </c>
      <c r="B113" s="2" t="inlineStr">
        <is>
          <t xml:space="preserve">Frndlytv Inc*+ 1Ad</t>
        </is>
      </c>
      <c r="C113" s="2" t="inlineStr">
        <is>
          <t xml:space="preserve">Streaming – Frndly TV</t>
        </is>
      </c>
      <c r="D113" s="3">
        <v>22.41</v>
      </c>
    </row>
    <row r="114">
      <c r="A114" s="7"/>
      <c r="B114" s="7"/>
      <c r="C114" s="7" t="inlineStr">
        <is>
          <t xml:space="preserve">Subtotal – Streaming – Frndly TV</t>
        </is>
      </c>
      <c r="D114" s="6">
        <f>SUM(D113:D113)</f>
        <v>22.41</v>
      </c>
    </row>
    <row r="115">
      <c r="A115" s="4">
        <v>46174</v>
      </c>
      <c r="B115" s="2" t="inlineStr">
        <is>
          <t xml:space="preserve">Apple.Com/Bill 866-712-7753</t>
        </is>
      </c>
      <c r="C115" s="2" t="inlineStr">
        <is>
          <t xml:space="preserve">Software &amp; Online Subscriptions</t>
        </is>
      </c>
      <c r="D115" s="3">
        <v>13.8</v>
      </c>
    </row>
    <row r="116">
      <c r="A116" s="4">
        <v>46182</v>
      </c>
      <c r="B116" s="2" t="inlineStr">
        <is>
          <t xml:space="preserve">Propertyrecs.Com</t>
        </is>
      </c>
      <c r="C116" s="2" t="inlineStr">
        <is>
          <t xml:space="preserve">Software &amp; Online Subscriptions</t>
        </is>
      </c>
      <c r="D116" s="3">
        <v>20.0</v>
      </c>
    </row>
    <row r="117">
      <c r="A117" s="4">
        <v>46188</v>
      </c>
      <c r="B117" s="2" t="inlineStr">
        <is>
          <t xml:space="preserve">Invoicesimple</t>
        </is>
      </c>
      <c r="C117" s="2" t="inlineStr">
        <is>
          <t xml:space="preserve">Software &amp; Online Subscriptions</t>
        </is>
      </c>
      <c r="D117" s="3">
        <v>4.99</v>
      </c>
    </row>
    <row r="118">
      <c r="A118" s="4">
        <v>46191</v>
      </c>
      <c r="B118" s="2" t="inlineStr">
        <is>
          <t xml:space="preserve">Adobe Inc</t>
        </is>
      </c>
      <c r="C118" s="2" t="inlineStr">
        <is>
          <t xml:space="preserve">Software &amp; Online Subscriptions</t>
        </is>
      </c>
      <c r="D118" s="3">
        <v>75.06</v>
      </c>
    </row>
    <row r="119">
      <c r="A119" s="4">
        <v>46195</v>
      </c>
      <c r="B119" s="2" t="inlineStr">
        <is>
          <t xml:space="preserve">Apple.Com/Bill 866-712-7753</t>
        </is>
      </c>
      <c r="C119" s="2" t="inlineStr">
        <is>
          <t xml:space="preserve">Software &amp; Online Subscriptions</t>
        </is>
      </c>
      <c r="D119" s="3">
        <v>4.88</v>
      </c>
    </row>
    <row r="120">
      <c r="A120" s="4">
        <v>46196</v>
      </c>
      <c r="B120" s="2" t="inlineStr">
        <is>
          <t xml:space="preserve">Ww Int'L-Digital</t>
        </is>
      </c>
      <c r="C120" s="2" t="inlineStr">
        <is>
          <t xml:space="preserve">Software &amp; Online Subscriptions</t>
        </is>
      </c>
      <c r="D120" s="3">
        <v>23.0</v>
      </c>
    </row>
    <row r="121">
      <c r="A121" s="7"/>
      <c r="B121" s="7"/>
      <c r="C121" s="7" t="inlineStr">
        <is>
          <t xml:space="preserve">Subtotal – Software &amp; Online Subscriptions</t>
        </is>
      </c>
      <c r="D121" s="6">
        <f>SUM(D115:D120)</f>
        <v>141.73</v>
      </c>
    </row>
    <row r="122">
      <c r="A122" s="4">
        <v>46195</v>
      </c>
      <c r="B122" s="2" t="inlineStr">
        <is>
          <t xml:space="preserve">Cvs/Pharmacy #0738 South Port</t>
        </is>
      </c>
      <c r="C122" s="2" t="inlineStr">
        <is>
          <t xml:space="preserve">CVS Pharmacy</t>
        </is>
      </c>
      <c r="D122" s="3">
        <v>124.87</v>
      </c>
    </row>
    <row r="123">
      <c r="A123" s="4">
        <v>46195</v>
      </c>
      <c r="B123" s="2" t="inlineStr">
        <is>
          <t xml:space="preserve">Cvs/Pharmacy #07382</t>
        </is>
      </c>
      <c r="C123" s="2" t="inlineStr">
        <is>
          <t xml:space="preserve">CVS Pharmacy</t>
        </is>
      </c>
      <c r="D123" s="3">
        <v>35.2</v>
      </c>
    </row>
    <row r="124">
      <c r="A124" s="7"/>
      <c r="B124" s="7"/>
      <c r="C124" s="7" t="inlineStr">
        <is>
          <t xml:space="preserve">Subtotal – CVS Pharmacy</t>
        </is>
      </c>
      <c r="D124" s="6">
        <f>SUM(D122:D123)</f>
        <v>160.07</v>
      </c>
    </row>
    <row r="125">
      <c r="A125" s="4">
        <v>46178</v>
      </c>
      <c r="B125" s="2" t="inlineStr">
        <is>
          <t xml:space="preserve">The Color Bar Hair Oak Island NC</t>
        </is>
      </c>
      <c r="C125" s="2" t="inlineStr">
        <is>
          <t xml:space="preserve">Haircuts – The Color Bar</t>
        </is>
      </c>
      <c r="D125" s="3">
        <v>150.0</v>
      </c>
    </row>
    <row r="126">
      <c r="A126" s="4">
        <v>46197</v>
      </c>
      <c r="B126" s="2" t="inlineStr">
        <is>
          <t xml:space="preserve">The Color Bar Hair Oak Island NC</t>
        </is>
      </c>
      <c r="C126" s="2" t="inlineStr">
        <is>
          <t xml:space="preserve">Haircuts – The Color Bar</t>
        </is>
      </c>
      <c r="D126" s="3">
        <v>32.5</v>
      </c>
    </row>
    <row r="127">
      <c r="A127" s="7"/>
      <c r="B127" s="7"/>
      <c r="C127" s="7" t="inlineStr">
        <is>
          <t xml:space="preserve">Subtotal – Haircuts – The Color Bar</t>
        </is>
      </c>
      <c r="D127" s="6">
        <f>SUM(D125:D126)</f>
        <v>182.5</v>
      </c>
    </row>
    <row r="128">
      <c r="A128" s="4">
        <v>46170</v>
      </c>
      <c r="B128" s="2" t="inlineStr">
        <is>
          <t xml:space="preserve">Belk Syf Paymnt May 28 604583156390724 Dempseyleigh</t>
        </is>
      </c>
      <c r="C128" s="2" t="inlineStr">
        <is>
          <t xml:space="preserve">Retail – Belk (store card payments)</t>
        </is>
      </c>
      <c r="D128" s="3">
        <v>386.69</v>
      </c>
    </row>
    <row r="129">
      <c r="A129" s="7"/>
      <c r="B129" s="7"/>
      <c r="C129" s="7" t="inlineStr">
        <is>
          <t xml:space="preserve">Subtotal – Retail – Belk (store card payments)</t>
        </is>
      </c>
      <c r="D129" s="6">
        <f>SUM(D128:D128)</f>
        <v>386.69</v>
      </c>
    </row>
    <row r="130">
      <c r="A130" s="4">
        <v>46183</v>
      </c>
      <c r="B130" s="2" t="inlineStr">
        <is>
          <t xml:space="preserve">Ross Store #2284 Shallotte NC</t>
        </is>
      </c>
      <c r="C130" s="2" t="inlineStr">
        <is>
          <t xml:space="preserve">Retail – Ross</t>
        </is>
      </c>
      <c r="D130" s="3">
        <v>48.03</v>
      </c>
    </row>
    <row r="131">
      <c r="A131" s="7"/>
      <c r="B131" s="7"/>
      <c r="C131" s="7" t="inlineStr">
        <is>
          <t xml:space="preserve">Subtotal – Retail – Ross</t>
        </is>
      </c>
      <c r="D131" s="6">
        <f>SUM(D130:D130)</f>
        <v>48.03</v>
      </c>
    </row>
    <row r="132">
      <c r="A132" s="4">
        <v>46191</v>
      </c>
      <c r="B132" s="2" t="inlineStr">
        <is>
          <t xml:space="preserve">Target T-1081 Charlotte NC</t>
        </is>
      </c>
      <c r="C132" s="2" t="inlineStr">
        <is>
          <t xml:space="preserve">Retail – Target</t>
        </is>
      </c>
      <c r="D132" s="3">
        <v>58.98</v>
      </c>
    </row>
    <row r="133">
      <c r="A133" s="7"/>
      <c r="B133" s="7"/>
      <c r="C133" s="7" t="inlineStr">
        <is>
          <t xml:space="preserve">Subtotal – Retail – Target</t>
        </is>
      </c>
      <c r="D133" s="6">
        <f>SUM(D132:D132)</f>
        <v>58.98</v>
      </c>
    </row>
    <row r="134">
      <c r="A134" s="4">
        <v>46181</v>
      </c>
      <c r="B134" s="2" t="inlineStr">
        <is>
          <t xml:space="preserve">Lowe's #682 Southport NC</t>
        </is>
      </c>
      <c r="C134" s="2" t="inlineStr">
        <is>
          <t xml:space="preserve">Retail – Lowe's (home improvement)</t>
        </is>
      </c>
      <c r="D134" s="3">
        <v>27.67</v>
      </c>
    </row>
    <row r="135">
      <c r="A135" s="7"/>
      <c r="B135" s="7"/>
      <c r="C135" s="7" t="inlineStr">
        <is>
          <t xml:space="preserve">Subtotal – Retail – Lowe's (home improvement)</t>
        </is>
      </c>
      <c r="D135" s="6">
        <f>SUM(D134:D134)</f>
        <v>27.67</v>
      </c>
    </row>
    <row r="136">
      <c r="A136" s="4">
        <v>46174</v>
      </c>
      <c r="B136" s="2" t="inlineStr">
        <is>
          <t xml:space="preserve">Ulta 1519 Wilmington NC</t>
        </is>
      </c>
      <c r="C136" s="2" t="inlineStr">
        <is>
          <t xml:space="preserve">Retail – Ulta Beauty</t>
        </is>
      </c>
      <c r="D136" s="3">
        <v>97.35</v>
      </c>
    </row>
    <row r="137">
      <c r="A137" s="4">
        <v>46183</v>
      </c>
      <c r="B137" s="2" t="inlineStr">
        <is>
          <t xml:space="preserve">Ulta 1590 Shallotte NC</t>
        </is>
      </c>
      <c r="C137" s="2" t="inlineStr">
        <is>
          <t xml:space="preserve">Retail – Ulta Beauty</t>
        </is>
      </c>
      <c r="D137" s="3">
        <v>37.36</v>
      </c>
    </row>
    <row r="138">
      <c r="A138" s="7"/>
      <c r="B138" s="7"/>
      <c r="C138" s="7" t="inlineStr">
        <is>
          <t xml:space="preserve">Subtotal – Retail – Ulta Beauty</t>
        </is>
      </c>
      <c r="D138" s="6">
        <f>SUM(D136:D137)</f>
        <v>134.71</v>
      </c>
    </row>
    <row r="139">
      <c r="A139" s="4">
        <v>46174</v>
      </c>
      <c r="B139" s="2" t="inlineStr">
        <is>
          <t xml:space="preserve">Bath &amp; Body Works 3088</t>
        </is>
      </c>
      <c r="C139" s="2" t="inlineStr">
        <is>
          <t xml:space="preserve">Retail – Bath &amp; Body Works</t>
        </is>
      </c>
      <c r="D139" s="3">
        <v>51.31</v>
      </c>
    </row>
    <row r="140">
      <c r="A140" s="7"/>
      <c r="B140" s="7"/>
      <c r="C140" s="7" t="inlineStr">
        <is>
          <t xml:space="preserve">Subtotal – Retail – Bath &amp; Body Works</t>
        </is>
      </c>
      <c r="D140" s="6">
        <f>SUM(D139:D139)</f>
        <v>51.31</v>
      </c>
    </row>
    <row r="141">
      <c r="A141" s="4">
        <v>46174</v>
      </c>
      <c r="B141" s="2" t="inlineStr">
        <is>
          <t xml:space="preserve">Ls Mad River 186-69321801 NC</t>
        </is>
      </c>
      <c r="C141" s="2" t="inlineStr">
        <is>
          <t xml:space="preserve">Retail – Local shops (Hippie Chick, Southport Spices, Mad River, Coastal Carolina)</t>
        </is>
      </c>
      <c r="D141" s="3">
        <v>41.63</v>
      </c>
    </row>
    <row r="142">
      <c r="A142" s="4">
        <v>46191</v>
      </c>
      <c r="B142" s="2" t="inlineStr">
        <is>
          <t xml:space="preserve">Coastal Carolina C Southport NC</t>
        </is>
      </c>
      <c r="C142" s="2" t="inlineStr">
        <is>
          <t xml:space="preserve">Retail – Local shops (Hippie Chick, Southport Spices, Mad River, Coastal Carolina)</t>
        </is>
      </c>
      <c r="D142" s="3">
        <v>23.7</v>
      </c>
    </row>
    <row r="143">
      <c r="A143" s="4">
        <v>46191</v>
      </c>
      <c r="B143" s="2" t="inlineStr">
        <is>
          <t xml:space="preserve">Ls Mad River 186-69321801 NC</t>
        </is>
      </c>
      <c r="C143" s="2" t="inlineStr">
        <is>
          <t xml:space="preserve">Retail – Local shops (Hippie Chick, Southport Spices, Mad River, Coastal Carolina)</t>
        </is>
      </c>
      <c r="D143" s="3">
        <v>42.7</v>
      </c>
    </row>
    <row r="144">
      <c r="A144" s="7"/>
      <c r="B144" s="7"/>
      <c r="C144" s="7" t="inlineStr">
        <is>
          <t xml:space="preserve">Subtotal – Retail – Local shops (Hippie Chick, Southport Spices, Mad River, Coastal Carolina)</t>
        </is>
      </c>
      <c r="D144" s="6">
        <f>SUM(D141:D143)</f>
        <v>108.03</v>
      </c>
    </row>
    <row r="145">
      <c r="A145" s="4">
        <v>46196</v>
      </c>
      <c r="B145" s="2" t="inlineStr">
        <is>
          <t xml:space="preserve">Autobks*Nextgen LA</t>
        </is>
      </c>
      <c r="C145" s="2" t="inlineStr">
        <is>
          <t xml:space="preserve">Yard Company (NextGen)</t>
        </is>
      </c>
      <c r="D145" s="3">
        <v>60.0</v>
      </c>
    </row>
    <row r="146">
      <c r="A146" s="7"/>
      <c r="B146" s="7"/>
      <c r="C146" s="7" t="inlineStr">
        <is>
          <t xml:space="preserve">Subtotal – Yard Company (NextGen)</t>
        </is>
      </c>
      <c r="D146" s="6">
        <f>SUM(D145:D145)</f>
        <v>60.0</v>
      </c>
    </row>
    <row r="147">
      <c r="A147" s="4">
        <v>46195</v>
      </c>
      <c r="B147" s="2" t="inlineStr">
        <is>
          <t xml:space="preserve">Hilton Charlotte U Charlotte NC</t>
        </is>
      </c>
      <c r="C147" s="2" t="inlineStr">
        <is>
          <t xml:space="preserve">Travel (Lyft, Hotel)</t>
        </is>
      </c>
      <c r="D147" s="3">
        <v>13.09</v>
      </c>
    </row>
    <row r="148">
      <c r="A148" s="4">
        <v>46195</v>
      </c>
      <c r="B148" s="2" t="inlineStr">
        <is>
          <t xml:space="preserve">Hilton Charlotte U Charlotte NC</t>
        </is>
      </c>
      <c r="C148" s="2" t="inlineStr">
        <is>
          <t xml:space="preserve">Travel (Lyft, Hotel)</t>
        </is>
      </c>
      <c r="D148" s="3">
        <v>15.94</v>
      </c>
    </row>
    <row r="149">
      <c r="A149" s="4">
        <v>46195</v>
      </c>
      <c r="B149" s="2" t="inlineStr">
        <is>
          <t xml:space="preserve">Lyft *Standard 0 Lyft.Com CA</t>
        </is>
      </c>
      <c r="C149" s="2" t="inlineStr">
        <is>
          <t xml:space="preserve">Travel (Lyft, Hotel)</t>
        </is>
      </c>
      <c r="D149" s="3">
        <v>14.99</v>
      </c>
    </row>
    <row r="150">
      <c r="A150" s="4">
        <v>46195</v>
      </c>
      <c r="B150" s="2" t="inlineStr">
        <is>
          <t xml:space="preserve">Lyft *Priority 0 Lyft.Com CA</t>
        </is>
      </c>
      <c r="C150" s="2" t="inlineStr">
        <is>
          <t xml:space="preserve">Travel (Lyft, Hotel)</t>
        </is>
      </c>
      <c r="D150" s="3">
        <v>15.99</v>
      </c>
    </row>
    <row r="151">
      <c r="A151" s="4">
        <v>46195</v>
      </c>
      <c r="B151" s="2" t="inlineStr">
        <is>
          <t xml:space="preserve">Lyft *Standard 0 Lyft.Com CA</t>
        </is>
      </c>
      <c r="C151" s="2" t="inlineStr">
        <is>
          <t xml:space="preserve">Travel (Lyft, Hotel)</t>
        </is>
      </c>
      <c r="D151" s="3">
        <v>36.96</v>
      </c>
    </row>
    <row r="152">
      <c r="A152" s="4">
        <v>46195</v>
      </c>
      <c r="B152" s="2" t="inlineStr">
        <is>
          <t xml:space="preserve">Hilton Charlotte U Charlotte NC</t>
        </is>
      </c>
      <c r="C152" s="2" t="inlineStr">
        <is>
          <t xml:space="preserve">Travel (Lyft, Hotel)</t>
        </is>
      </c>
      <c r="D152" s="3">
        <v>5.68</v>
      </c>
    </row>
    <row r="153">
      <c r="A153" s="7"/>
      <c r="B153" s="7"/>
      <c r="C153" s="7" t="inlineStr">
        <is>
          <t xml:space="preserve">Subtotal – Travel (Lyft, Hotel)</t>
        </is>
      </c>
      <c r="D153" s="6">
        <f>SUM(D147:D152)</f>
        <v>102.65</v>
      </c>
    </row>
    <row r="154">
      <c r="A154" s="4">
        <v>46184</v>
      </c>
      <c r="B154" s="2" t="inlineStr">
        <is>
          <t xml:space="preserve">Zelle to Matt Dempsey</t>
        </is>
      </c>
      <c r="C154" s="2" t="inlineStr">
        <is>
          <t xml:space="preserve">Transfers to People (Venmo/Zelle)</t>
        </is>
      </c>
      <c r="D154" s="3">
        <v>75.0</v>
      </c>
    </row>
    <row r="155">
      <c r="A155" s="7"/>
      <c r="B155" s="7"/>
      <c r="C155" s="7" t="inlineStr">
        <is>
          <t xml:space="preserve">Subtotal – Transfers to People (Venmo/Zelle)</t>
        </is>
      </c>
      <c r="D155" s="6">
        <f>SUM(D154:D154)</f>
        <v>75.0</v>
      </c>
    </row>
    <row r="156">
      <c r="A156" s="8"/>
      <c r="B156" s="8"/>
      <c r="C156" s="8" t="inlineStr">
        <is>
          <t xml:space="preserve">TOTAL SPENDING – June 2026</t>
        </is>
      </c>
      <c r="D156" s="9">
        <f>D7+D9+D11+D13+D15+D17+D19+D21+D24+D26+D28+D30+D39+D41+D44+D92+D99+D101+D104+D106+D108+D110+D112+D114+D121+D124+D127+D129+D131+D133+D135+D138+D140+D144+D146+D153+D155</f>
        <v>12135.81</v>
      </c>
    </row>
    <row r="157">
      <c r="C157" s="12" t="inlineStr">
        <is>
          <t xml:space="preserve">Check vs. Monthly Summary (should be $0)</t>
        </is>
      </c>
      <c r="D157" s="3">
        <f>D156-'Monthly Summary'!B120</f>
        <v>0.0</v>
      </c>
    </row>
    <row r="160">
      <c r="A160" s="6" t="inlineStr">
        <is>
          <t xml:space="preserve">July 2026  ·  statement period 6/25–7/23/26</t>
        </is>
      </c>
      <c r="B160" s="6"/>
      <c r="C160" s="6"/>
      <c r="D160" s="6"/>
    </row>
    <row r="161">
      <c r="A161" s="1" t="inlineStr">
        <is>
          <t xml:space="preserve">Date</t>
        </is>
      </c>
      <c r="B161" s="15" t="inlineStr">
        <is>
          <t xml:space="preserve">Description</t>
        </is>
      </c>
      <c r="C161" s="1" t="inlineStr">
        <is>
          <t xml:space="preserve">Category</t>
        </is>
      </c>
      <c r="D161" s="1" t="inlineStr">
        <is>
          <t xml:space="preserve">Amount</t>
        </is>
      </c>
    </row>
    <row r="162">
      <c r="A162" s="4">
        <v>46218</v>
      </c>
      <c r="B162" s="2" t="inlineStr">
        <is>
          <t xml:space="preserve">A&amp;D Mortgage LLC Re Payment</t>
        </is>
      </c>
      <c r="C162" s="2" t="inlineStr">
        <is>
          <t xml:space="preserve">A&amp;D Mortgage</t>
        </is>
      </c>
      <c r="D162" s="3">
        <v>3411.1</v>
      </c>
    </row>
    <row r="163">
      <c r="A163" s="7"/>
      <c r="B163" s="7"/>
      <c r="C163" s="7" t="inlineStr">
        <is>
          <t xml:space="preserve">Subtotal – A&amp;D Mortgage</t>
        </is>
      </c>
      <c r="D163" s="6">
        <f>SUM(D162:D162)</f>
        <v>3411.1</v>
      </c>
    </row>
    <row r="164">
      <c r="A164" s="4">
        <v>46223</v>
      </c>
      <c r="B164" s="2" t="inlineStr">
        <is>
          <t xml:space="preserve">St James 7134 Pap</t>
        </is>
      </c>
      <c r="C164" s="2" t="inlineStr">
        <is>
          <t xml:space="preserve">St. James Membership (Club)</t>
        </is>
      </c>
      <c r="D164" s="3">
        <v>1601.56</v>
      </c>
    </row>
    <row r="165">
      <c r="A165" s="7"/>
      <c r="B165" s="7"/>
      <c r="C165" s="7" t="inlineStr">
        <is>
          <t xml:space="preserve">Subtotal – St. James Membership (Club)</t>
        </is>
      </c>
      <c r="D165" s="6">
        <f>SUM(D164:D164)</f>
        <v>1601.56</v>
      </c>
    </row>
    <row r="166">
      <c r="A166" s="4">
        <v>46224</v>
      </c>
      <c r="B166" s="2" t="inlineStr">
        <is>
          <t xml:space="preserve">Allstate *Paymn</t>
        </is>
      </c>
      <c r="C166" s="2" t="inlineStr">
        <is>
          <t xml:space="preserve">Allstate Insurance</t>
        </is>
      </c>
      <c r="D166" s="3">
        <v>360.42</v>
      </c>
    </row>
    <row r="167">
      <c r="A167" s="7"/>
      <c r="B167" s="7"/>
      <c r="C167" s="7" t="inlineStr">
        <is>
          <t xml:space="preserve">Subtotal – Allstate Insurance</t>
        </is>
      </c>
      <c r="D167" s="6">
        <f>SUM(D166:D166)</f>
        <v>360.42</v>
      </c>
    </row>
    <row r="168">
      <c r="A168" s="4">
        <v>46220</v>
      </c>
      <c r="B168" s="2" t="inlineStr">
        <is>
          <t xml:space="preserve">+Lincoln Nationa EDI Pymnt</t>
        </is>
      </c>
      <c r="C168" s="2" t="inlineStr">
        <is>
          <t xml:space="preserve">Life Insurance (Lincoln National)</t>
        </is>
      </c>
      <c r="D168" s="3">
        <v>73.61</v>
      </c>
    </row>
    <row r="169">
      <c r="A169" s="7"/>
      <c r="B169" s="7"/>
      <c r="C169" s="7" t="inlineStr">
        <is>
          <t xml:space="preserve">Subtotal – Life Insurance (Lincoln National)</t>
        </is>
      </c>
      <c r="D169" s="6">
        <f>SUM(D168:D168)</f>
        <v>73.61</v>
      </c>
    </row>
    <row r="170">
      <c r="A170" s="4">
        <v>46211</v>
      </c>
      <c r="B170" s="2" t="inlineStr">
        <is>
          <t xml:space="preserve">Banner Life Prem Debit 17180884647</t>
        </is>
      </c>
      <c r="C170" s="2" t="inlineStr">
        <is>
          <t xml:space="preserve">Banner Life Insurance</t>
        </is>
      </c>
      <c r="D170" s="3">
        <v>710.06</v>
      </c>
    </row>
    <row r="171">
      <c r="A171" s="7"/>
      <c r="B171" s="7"/>
      <c r="C171" s="7" t="inlineStr">
        <is>
          <t xml:space="preserve">Subtotal – Banner Life Insurance</t>
        </is>
      </c>
      <c r="D171" s="6">
        <f>SUM(D170:D170)</f>
        <v>710.06</v>
      </c>
    </row>
    <row r="172">
      <c r="A172" s="4">
        <v>46209</v>
      </c>
      <c r="B172" s="2" t="inlineStr">
        <is>
          <t xml:space="preserve">Delta Dental of Delta Dent</t>
        </is>
      </c>
      <c r="C172" s="2" t="inlineStr">
        <is>
          <t xml:space="preserve">Dental Insurance – Delta Dental</t>
        </is>
      </c>
      <c r="D172" s="3">
        <v>69.36</v>
      </c>
    </row>
    <row r="173">
      <c r="A173" s="7"/>
      <c r="B173" s="7"/>
      <c r="C173" s="7" t="inlineStr">
        <is>
          <t xml:space="preserve">Subtotal – Dental Insurance – Delta Dental</t>
        </is>
      </c>
      <c r="D173" s="6">
        <f>SUM(D172:D172)</f>
        <v>69.36</v>
      </c>
    </row>
    <row r="174">
      <c r="A174" s="4">
        <v>46218</v>
      </c>
      <c r="B174" s="2" t="inlineStr">
        <is>
          <t xml:space="preserve">Bemc - Ecc Amanda.Wheele NC</t>
        </is>
      </c>
      <c r="C174" s="2" t="inlineStr">
        <is>
          <t xml:space="preserve">Utility – Electric (BEMC)</t>
        </is>
      </c>
      <c r="D174" s="3">
        <v>336.35</v>
      </c>
    </row>
    <row r="175">
      <c r="A175" s="7"/>
      <c r="B175" s="7"/>
      <c r="C175" s="7" t="inlineStr">
        <is>
          <t xml:space="preserve">Subtotal – Utility – Electric (BEMC)</t>
        </is>
      </c>
      <c r="D175" s="6">
        <f>SUM(D174:D174)</f>
        <v>336.35</v>
      </c>
    </row>
    <row r="176">
      <c r="A176" s="4">
        <v>46224</v>
      </c>
      <c r="B176" s="2" t="inlineStr">
        <is>
          <t xml:space="preserve">Verizon Wireless Payments</t>
        </is>
      </c>
      <c r="C176" s="2" t="inlineStr">
        <is>
          <t xml:space="preserve">Verizon Wireless</t>
        </is>
      </c>
      <c r="D176" s="3">
        <v>294.8</v>
      </c>
    </row>
    <row r="177">
      <c r="A177" s="7"/>
      <c r="B177" s="7"/>
      <c r="C177" s="7" t="inlineStr">
        <is>
          <t xml:space="preserve">Subtotal – Verizon Wireless</t>
        </is>
      </c>
      <c r="D177" s="6">
        <f>SUM(D176:D176)</f>
        <v>294.8</v>
      </c>
    </row>
    <row r="178">
      <c r="A178" s="4">
        <v>46217</v>
      </c>
      <c r="B178" s="2" t="inlineStr">
        <is>
          <t xml:space="preserve">Dept Education Student Ln 0000</t>
        </is>
      </c>
      <c r="C178" s="2" t="inlineStr">
        <is>
          <t xml:space="preserve">Student Loan (Dept of Education)</t>
        </is>
      </c>
      <c r="D178" s="3">
        <v>160.37</v>
      </c>
    </row>
    <row r="179">
      <c r="A179" s="7"/>
      <c r="B179" s="7"/>
      <c r="C179" s="7" t="inlineStr">
        <is>
          <t xml:space="preserve">Subtotal – Student Loan (Dept of Education)</t>
        </is>
      </c>
      <c r="D179" s="6">
        <f>SUM(D178:D178)</f>
        <v>160.37</v>
      </c>
    </row>
    <row r="180">
      <c r="A180" s="4">
        <v>46198</v>
      </c>
      <c r="B180" s="2" t="inlineStr">
        <is>
          <t xml:space="preserve">Lowes Food #235 Bolivia NC</t>
        </is>
      </c>
      <c r="C180" s="2" t="inlineStr">
        <is>
          <t xml:space="preserve">Grocery – Lowes Foods</t>
        </is>
      </c>
      <c r="D180" s="3">
        <v>2.14</v>
      </c>
    </row>
    <row r="181">
      <c r="A181" s="4">
        <v>46202</v>
      </c>
      <c r="B181" s="2" t="inlineStr">
        <is>
          <t xml:space="preserve">Lowe's Foods #1 Oak Island NC</t>
        </is>
      </c>
      <c r="C181" s="2" t="inlineStr">
        <is>
          <t xml:space="preserve">Grocery – Lowes Foods</t>
        </is>
      </c>
      <c r="D181" s="3">
        <v>41.57</v>
      </c>
    </row>
    <row r="182">
      <c r="A182" s="4">
        <v>46210</v>
      </c>
      <c r="B182" s="2" t="inlineStr">
        <is>
          <t xml:space="preserve">Lowes Foods #27 Southport NC</t>
        </is>
      </c>
      <c r="C182" s="2" t="inlineStr">
        <is>
          <t xml:space="preserve">Grocery – Lowes Foods</t>
        </is>
      </c>
      <c r="D182" s="3">
        <v>178.55</v>
      </c>
    </row>
    <row r="183">
      <c r="A183" s="4">
        <v>46211</v>
      </c>
      <c r="B183" s="2" t="inlineStr">
        <is>
          <t xml:space="preserve">Lowes Food #235 Bolivia NC</t>
        </is>
      </c>
      <c r="C183" s="2" t="inlineStr">
        <is>
          <t xml:space="preserve">Grocery – Lowes Foods</t>
        </is>
      </c>
      <c r="D183" s="3">
        <v>98.21</v>
      </c>
    </row>
    <row r="184">
      <c r="A184" s="4">
        <v>46211</v>
      </c>
      <c r="B184" s="2" t="inlineStr">
        <is>
          <t xml:space="preserve">Lowes Food #235 Bolivia NC</t>
        </is>
      </c>
      <c r="C184" s="2" t="inlineStr">
        <is>
          <t xml:space="preserve">Grocery – Lowes Foods</t>
        </is>
      </c>
      <c r="D184" s="3">
        <v>6.39</v>
      </c>
    </row>
    <row r="185">
      <c r="A185" s="4">
        <v>46213</v>
      </c>
      <c r="B185" s="2" t="inlineStr">
        <is>
          <t xml:space="preserve">Lowes Foods #27 Southport NC</t>
        </is>
      </c>
      <c r="C185" s="2" t="inlineStr">
        <is>
          <t xml:space="preserve">Grocery – Lowes Foods</t>
        </is>
      </c>
      <c r="D185" s="3">
        <v>22.21</v>
      </c>
    </row>
    <row r="186">
      <c r="A186" s="4">
        <v>46217</v>
      </c>
      <c r="B186" s="2" t="inlineStr">
        <is>
          <t xml:space="preserve">Lowes Foods #27 Southport NC</t>
        </is>
      </c>
      <c r="C186" s="2" t="inlineStr">
        <is>
          <t xml:space="preserve">Grocery – Lowes Foods</t>
        </is>
      </c>
      <c r="D186" s="3">
        <v>19.08</v>
      </c>
    </row>
    <row r="187">
      <c r="A187" s="4">
        <v>46219</v>
      </c>
      <c r="B187" s="2" t="inlineStr">
        <is>
          <t xml:space="preserve">Lowe's Foods #1 Oak Island NC</t>
        </is>
      </c>
      <c r="C187" s="2" t="inlineStr">
        <is>
          <t xml:space="preserve">Grocery – Lowes Foods</t>
        </is>
      </c>
      <c r="D187" s="3">
        <v>56.23</v>
      </c>
    </row>
    <row r="188">
      <c r="A188" s="4">
        <v>46219</v>
      </c>
      <c r="B188" s="2" t="inlineStr">
        <is>
          <t xml:space="preserve">Lowes Food #235 Bolivia NC</t>
        </is>
      </c>
      <c r="C188" s="2" t="inlineStr">
        <is>
          <t xml:space="preserve">Grocery – Lowes Foods</t>
        </is>
      </c>
      <c r="D188" s="3">
        <v>16.8</v>
      </c>
    </row>
    <row r="189">
      <c r="A189" s="4">
        <v>46223</v>
      </c>
      <c r="B189" s="2" t="inlineStr">
        <is>
          <t xml:space="preserve">Lowes Foods #27 Southport NC</t>
        </is>
      </c>
      <c r="C189" s="2" t="inlineStr">
        <is>
          <t xml:space="preserve">Grocery – Lowes Foods</t>
        </is>
      </c>
      <c r="D189" s="3">
        <v>169.96</v>
      </c>
    </row>
    <row r="190">
      <c r="A190" s="7"/>
      <c r="B190" s="7"/>
      <c r="C190" s="7" t="inlineStr">
        <is>
          <t xml:space="preserve">Subtotal – Grocery – Lowes Foods</t>
        </is>
      </c>
      <c r="D190" s="6">
        <f>SUM(D180:D189)</f>
        <v>611.14</v>
      </c>
    </row>
    <row r="191">
      <c r="A191" s="4">
        <v>46202</v>
      </c>
      <c r="B191" s="2" t="inlineStr">
        <is>
          <t xml:space="preserve">Publix #1703 Oak Island NC</t>
        </is>
      </c>
      <c r="C191" s="2" t="inlineStr">
        <is>
          <t xml:space="preserve">Grocery – Publix</t>
        </is>
      </c>
      <c r="D191" s="3">
        <v>93.02</v>
      </c>
    </row>
    <row r="192">
      <c r="A192" s="4">
        <v>46203</v>
      </c>
      <c r="B192" s="2" t="inlineStr">
        <is>
          <t xml:space="preserve">Publix #1703 Oak Island NC</t>
        </is>
      </c>
      <c r="C192" s="2" t="inlineStr">
        <is>
          <t xml:space="preserve">Grocery – Publix</t>
        </is>
      </c>
      <c r="D192" s="3">
        <v>18.98</v>
      </c>
    </row>
    <row r="193">
      <c r="A193" s="4">
        <v>46206</v>
      </c>
      <c r="B193" s="2" t="inlineStr">
        <is>
          <t xml:space="preserve">Publix #1703 Oak Island NC</t>
        </is>
      </c>
      <c r="C193" s="2" t="inlineStr">
        <is>
          <t xml:space="preserve">Grocery – Publix</t>
        </is>
      </c>
      <c r="D193" s="3">
        <v>47.28</v>
      </c>
    </row>
    <row r="194">
      <c r="A194" s="4">
        <v>46209</v>
      </c>
      <c r="B194" s="2" t="inlineStr">
        <is>
          <t xml:space="preserve">Publix #1703 Oak Island NC</t>
        </is>
      </c>
      <c r="C194" s="2" t="inlineStr">
        <is>
          <t xml:space="preserve">Grocery – Publix</t>
        </is>
      </c>
      <c r="D194" s="3">
        <v>94.64</v>
      </c>
    </row>
    <row r="195">
      <c r="A195" s="4">
        <v>46223</v>
      </c>
      <c r="B195" s="2" t="inlineStr">
        <is>
          <t xml:space="preserve">Publix #1703 Oak Island NC</t>
        </is>
      </c>
      <c r="C195" s="2" t="inlineStr">
        <is>
          <t xml:space="preserve">Grocery – Publix</t>
        </is>
      </c>
      <c r="D195" s="3">
        <v>55.49</v>
      </c>
    </row>
    <row r="196">
      <c r="A196" s="4">
        <v>46223</v>
      </c>
      <c r="B196" s="2" t="inlineStr">
        <is>
          <t xml:space="preserve">Publix #1703 Oak Island NC</t>
        </is>
      </c>
      <c r="C196" s="2" t="inlineStr">
        <is>
          <t xml:space="preserve">Grocery – Publix</t>
        </is>
      </c>
      <c r="D196" s="3">
        <v>7.74</v>
      </c>
    </row>
    <row r="197">
      <c r="A197" s="4">
        <v>46224</v>
      </c>
      <c r="B197" s="2" t="inlineStr">
        <is>
          <t xml:space="preserve">Publix #1703 Oak Island NC</t>
        </is>
      </c>
      <c r="C197" s="2" t="inlineStr">
        <is>
          <t xml:space="preserve">Grocery – Publix</t>
        </is>
      </c>
      <c r="D197" s="3">
        <v>14.28</v>
      </c>
    </row>
    <row r="198">
      <c r="A198" s="7"/>
      <c r="B198" s="7"/>
      <c r="C198" s="7" t="inlineStr">
        <is>
          <t xml:space="preserve">Subtotal – Grocery – Publix</t>
        </is>
      </c>
      <c r="D198" s="6">
        <f>SUM(D191:D197)</f>
        <v>331.43</v>
      </c>
    </row>
    <row r="199">
      <c r="A199" s="4">
        <v>46224</v>
      </c>
      <c r="B199" s="2" t="inlineStr">
        <is>
          <t xml:space="preserve">Food Lion #1593 1775 C Sunset</t>
        </is>
      </c>
      <c r="C199" s="2" t="inlineStr">
        <is>
          <t xml:space="preserve">Grocery – Food Lion</t>
        </is>
      </c>
      <c r="D199" s="3">
        <v>336.67</v>
      </c>
    </row>
    <row r="200">
      <c r="A200" s="7"/>
      <c r="B200" s="7"/>
      <c r="C200" s="7" t="inlineStr">
        <is>
          <t xml:space="preserve">Subtotal – Grocery – Food Lion</t>
        </is>
      </c>
      <c r="D200" s="6">
        <f>SUM(D199:D199)</f>
        <v>336.67</v>
      </c>
    </row>
    <row r="201">
      <c r="A201" s="4">
        <v>46198</v>
      </c>
      <c r="B201" s="2" t="inlineStr">
        <is>
          <t xml:space="preserve">Jersey Mikes 3177 Southport NC</t>
        </is>
      </c>
      <c r="C201" s="2" t="inlineStr">
        <is>
          <t xml:space="preserve">Restaurants &amp; Takeout</t>
        </is>
      </c>
      <c r="D201" s="3">
        <v>15.2</v>
      </c>
    </row>
    <row r="202">
      <c r="A202" s="4">
        <v>46199</v>
      </c>
      <c r="B202" s="2" t="inlineStr">
        <is>
          <t xml:space="preserve">DD *Doordash Falco</t>
        </is>
      </c>
      <c r="C202" s="2" t="inlineStr">
        <is>
          <t xml:space="preserve">Restaurants &amp; Takeout</t>
        </is>
      </c>
      <c r="D202" s="3">
        <v>53.94</v>
      </c>
    </row>
    <row r="203">
      <c r="A203" s="4">
        <v>46199</v>
      </c>
      <c r="B203" s="2" t="inlineStr">
        <is>
          <t xml:space="preserve">DD/Br #338554 Q35 Little River</t>
        </is>
      </c>
      <c r="C203" s="2" t="inlineStr">
        <is>
          <t xml:space="preserve">Restaurants &amp; Takeout</t>
        </is>
      </c>
      <c r="D203" s="3">
        <v>11.23</v>
      </c>
    </row>
    <row r="204">
      <c r="A204" s="4">
        <v>46199</v>
      </c>
      <c r="B204" s="2" t="inlineStr">
        <is>
          <t xml:space="preserve">Chipotle 2810 Myrtle Beach SC</t>
        </is>
      </c>
      <c r="C204" s="2" t="inlineStr">
        <is>
          <t xml:space="preserve">Restaurants &amp; Takeout</t>
        </is>
      </c>
      <c r="D204" s="3">
        <v>36.74</v>
      </c>
    </row>
    <row r="205">
      <c r="A205" s="4">
        <v>46202</v>
      </c>
      <c r="B205" s="2" t="inlineStr">
        <is>
          <t xml:space="preserve">Chick-Fil-A #04071 Leland NC</t>
        </is>
      </c>
      <c r="C205" s="2" t="inlineStr">
        <is>
          <t xml:space="preserve">Restaurants &amp; Takeout</t>
        </is>
      </c>
      <c r="D205" s="3">
        <v>9.06</v>
      </c>
    </row>
    <row r="206">
      <c r="A206" s="4">
        <v>46202</v>
      </c>
      <c r="B206" s="2" t="inlineStr">
        <is>
          <t xml:space="preserve">DD *Doordash Dairy</t>
        </is>
      </c>
      <c r="C206" s="2" t="inlineStr">
        <is>
          <t xml:space="preserve">Restaurants &amp; Takeout</t>
        </is>
      </c>
      <c r="D206" s="3">
        <v>33.46</v>
      </c>
    </row>
    <row r="207">
      <c r="A207" s="4">
        <v>46202</v>
      </c>
      <c r="B207" s="2" t="inlineStr">
        <is>
          <t xml:space="preserve">McDonald's F33155 Leland NC</t>
        </is>
      </c>
      <c r="C207" s="2" t="inlineStr">
        <is>
          <t xml:space="preserve">Restaurants &amp; Takeout</t>
        </is>
      </c>
      <c r="D207" s="3">
        <v>14.28</v>
      </c>
    </row>
    <row r="208">
      <c r="A208" s="4">
        <v>46202</v>
      </c>
      <c r="B208" s="2" t="inlineStr">
        <is>
          <t xml:space="preserve">DD *Doordash Sanfe</t>
        </is>
      </c>
      <c r="C208" s="2" t="inlineStr">
        <is>
          <t xml:space="preserve">Restaurants &amp; Takeout</t>
        </is>
      </c>
      <c r="D208" s="3">
        <v>77.69</v>
      </c>
    </row>
    <row r="209">
      <c r="A209" s="4">
        <v>46202</v>
      </c>
      <c r="B209" s="2" t="inlineStr">
        <is>
          <t xml:space="preserve">Bojangles 49 Wallace NC</t>
        </is>
      </c>
      <c r="C209" s="2" t="inlineStr">
        <is>
          <t xml:space="preserve">Restaurants &amp; Takeout</t>
        </is>
      </c>
      <c r="D209" s="3">
        <v>6.24</v>
      </c>
    </row>
    <row r="210">
      <c r="A210" s="4">
        <v>46202</v>
      </c>
      <c r="B210" s="2" t="inlineStr">
        <is>
          <t xml:space="preserve">McDonald's F4663 Henderson</t>
        </is>
      </c>
      <c r="C210" s="2" t="inlineStr">
        <is>
          <t xml:space="preserve">Restaurants &amp; Takeout</t>
        </is>
      </c>
      <c r="D210" s="3">
        <v>8.74</v>
      </c>
    </row>
    <row r="211">
      <c r="A211" s="4">
        <v>46204</v>
      </c>
      <c r="B211" s="2" t="inlineStr">
        <is>
          <t xml:space="preserve">Chick-Fil-A #0175 Henderson NC</t>
        </is>
      </c>
      <c r="C211" s="2" t="inlineStr">
        <is>
          <t xml:space="preserve">Restaurants &amp; Takeout</t>
        </is>
      </c>
      <c r="D211" s="3">
        <v>7.37</v>
      </c>
    </row>
    <row r="212">
      <c r="A212" s="4">
        <v>46204</v>
      </c>
      <c r="B212" s="2" t="inlineStr">
        <is>
          <t xml:space="preserve">Taste of China Southport NC</t>
        </is>
      </c>
      <c r="C212" s="2" t="inlineStr">
        <is>
          <t xml:space="preserve">Restaurants &amp; Takeout</t>
        </is>
      </c>
      <c r="D212" s="3">
        <v>24.15</v>
      </c>
    </row>
    <row r="213">
      <c r="A213" s="4">
        <v>46204</v>
      </c>
      <c r="B213" s="2" t="inlineStr">
        <is>
          <t xml:space="preserve">Lil &amp; Johnssweetre Oak Island</t>
        </is>
      </c>
      <c r="C213" s="2" t="inlineStr">
        <is>
          <t xml:space="preserve">Restaurants &amp; Takeout</t>
        </is>
      </c>
      <c r="D213" s="3">
        <v>24.34</v>
      </c>
    </row>
    <row r="214">
      <c r="A214" s="4">
        <v>46205</v>
      </c>
      <c r="B214" s="2" t="inlineStr">
        <is>
          <t xml:space="preserve">Chick-Fil-A #0175 Henderson NC</t>
        </is>
      </c>
      <c r="C214" s="2" t="inlineStr">
        <is>
          <t xml:space="preserve">Restaurants &amp; Takeout</t>
        </is>
      </c>
      <c r="D214" s="3">
        <v>7.37</v>
      </c>
    </row>
    <row r="215">
      <c r="A215" s="4">
        <v>46205</v>
      </c>
      <c r="B215" s="2" t="inlineStr">
        <is>
          <t xml:space="preserve">Chick-Fil-A #0175 Henderson NC</t>
        </is>
      </c>
      <c r="C215" s="2" t="inlineStr">
        <is>
          <t xml:space="preserve">Restaurants &amp; Takeout</t>
        </is>
      </c>
      <c r="D215" s="3">
        <v>10.13</v>
      </c>
    </row>
    <row r="216">
      <c r="A216" s="4">
        <v>46206</v>
      </c>
      <c r="B216" s="2" t="inlineStr">
        <is>
          <t xml:space="preserve">DD *Doordash Falco</t>
        </is>
      </c>
      <c r="C216" s="2" t="inlineStr">
        <is>
          <t xml:space="preserve">Restaurants &amp; Takeout</t>
        </is>
      </c>
      <c r="D216" s="3">
        <v>50.74</v>
      </c>
    </row>
    <row r="217">
      <c r="A217" s="4">
        <v>46209</v>
      </c>
      <c r="B217" s="2" t="inlineStr">
        <is>
          <t xml:space="preserve">Chick-Fil-A #0175 Henderson NC</t>
        </is>
      </c>
      <c r="C217" s="2" t="inlineStr">
        <is>
          <t xml:space="preserve">Restaurants &amp; Takeout</t>
        </is>
      </c>
      <c r="D217" s="3">
        <v>25.88</v>
      </c>
    </row>
    <row r="218">
      <c r="A218" s="4">
        <v>46209</v>
      </c>
      <c r="B218" s="2" t="inlineStr">
        <is>
          <t xml:space="preserve">Chick-Fil-A #0175 Henderson NC</t>
        </is>
      </c>
      <c r="C218" s="2" t="inlineStr">
        <is>
          <t xml:space="preserve">Restaurants &amp; Takeout</t>
        </is>
      </c>
      <c r="D218" s="3">
        <v>7.79</v>
      </c>
    </row>
    <row r="219">
      <c r="A219" s="4">
        <v>46209</v>
      </c>
      <c r="B219" s="2" t="inlineStr">
        <is>
          <t xml:space="preserve">Hardees 1663 Benson NC</t>
        </is>
      </c>
      <c r="C219" s="2" t="inlineStr">
        <is>
          <t xml:space="preserve">Restaurants &amp; Takeout</t>
        </is>
      </c>
      <c r="D219" s="3">
        <v>8.53</v>
      </c>
    </row>
    <row r="220">
      <c r="A220" s="4">
        <v>46209</v>
      </c>
      <c r="B220" s="2" t="inlineStr">
        <is>
          <t xml:space="preserve">Sq *Saltwater Shan Supply NC</t>
        </is>
      </c>
      <c r="C220" s="2" t="inlineStr">
        <is>
          <t xml:space="preserve">Restaurants &amp; Takeout</t>
        </is>
      </c>
      <c r="D220" s="3">
        <v>19.19</v>
      </c>
    </row>
    <row r="221">
      <c r="A221" s="4">
        <v>46211</v>
      </c>
      <c r="B221" s="2" t="inlineStr">
        <is>
          <t xml:space="preserve">DD/Br #338554 Q35 Little River</t>
        </is>
      </c>
      <c r="C221" s="2" t="inlineStr">
        <is>
          <t xml:space="preserve">Restaurants &amp; Takeout</t>
        </is>
      </c>
      <c r="D221" s="3">
        <v>10.91</v>
      </c>
    </row>
    <row r="222">
      <c r="A222" s="4">
        <v>46211</v>
      </c>
      <c r="B222" s="2" t="inlineStr">
        <is>
          <t xml:space="preserve">NY Deli Myrtle Beach SC</t>
        </is>
      </c>
      <c r="C222" s="2" t="inlineStr">
        <is>
          <t xml:space="preserve">Restaurants &amp; Takeout</t>
        </is>
      </c>
      <c r="D222" s="3">
        <v>16.43</v>
      </c>
    </row>
    <row r="223">
      <c r="A223" s="4">
        <v>46213</v>
      </c>
      <c r="B223" s="2" t="inlineStr">
        <is>
          <t xml:space="preserve">McDonald's F33155 Leland NC</t>
        </is>
      </c>
      <c r="C223" s="2" t="inlineStr">
        <is>
          <t xml:space="preserve">Restaurants &amp; Takeout</t>
        </is>
      </c>
      <c r="D223" s="3">
        <v>9.6</v>
      </c>
    </row>
    <row r="224">
      <c r="A224" s="4">
        <v>46213</v>
      </c>
      <c r="B224" s="2" t="inlineStr">
        <is>
          <t xml:space="preserve">Sq *Smoothie &amp; Bob</t>
        </is>
      </c>
      <c r="C224" s="2" t="inlineStr">
        <is>
          <t xml:space="preserve">Restaurants &amp; Takeout</t>
        </is>
      </c>
      <c r="D224" s="3">
        <v>9.51</v>
      </c>
    </row>
    <row r="225">
      <c r="A225" s="4">
        <v>46216</v>
      </c>
      <c r="B225" s="2" t="inlineStr">
        <is>
          <t xml:space="preserve">DD *Doordash Jerse</t>
        </is>
      </c>
      <c r="C225" s="2" t="inlineStr">
        <is>
          <t xml:space="preserve">Restaurants &amp; Takeout</t>
        </is>
      </c>
      <c r="D225" s="3">
        <v>51.23</v>
      </c>
    </row>
    <row r="226">
      <c r="A226" s="4">
        <v>46216</v>
      </c>
      <c r="B226" s="2" t="inlineStr">
        <is>
          <t xml:space="preserve">McDonald's F7702 Southport NC</t>
        </is>
      </c>
      <c r="C226" s="2" t="inlineStr">
        <is>
          <t xml:space="preserve">Restaurants &amp; Takeout</t>
        </is>
      </c>
      <c r="D226" s="3">
        <v>9.49</v>
      </c>
    </row>
    <row r="227">
      <c r="A227" s="4">
        <v>46216</v>
      </c>
      <c r="B227" s="2" t="inlineStr">
        <is>
          <t xml:space="preserve">Thai &amp; Vine Oak Island NC</t>
        </is>
      </c>
      <c r="C227" s="2" t="inlineStr">
        <is>
          <t xml:space="preserve">Restaurants &amp; Takeout</t>
        </is>
      </c>
      <c r="D227" s="3">
        <v>71.61</v>
      </c>
    </row>
    <row r="228">
      <c r="A228" s="4">
        <v>46217</v>
      </c>
      <c r="B228" s="2" t="inlineStr">
        <is>
          <t xml:space="preserve">Lil &amp; Johnssweetreat I Oak</t>
        </is>
      </c>
      <c r="C228" s="2" t="inlineStr">
        <is>
          <t xml:space="preserve">Restaurants &amp; Takeout</t>
        </is>
      </c>
      <c r="D228" s="3">
        <v>17.29</v>
      </c>
    </row>
    <row r="229">
      <c r="A229" s="4">
        <v>46218</v>
      </c>
      <c r="B229" s="2" t="inlineStr">
        <is>
          <t xml:space="preserve">Lil &amp; Johnssweetreat 2 Oak</t>
        </is>
      </c>
      <c r="C229" s="2" t="inlineStr">
        <is>
          <t xml:space="preserve">Restaurants &amp; Takeout</t>
        </is>
      </c>
      <c r="D229" s="3">
        <v>17.29</v>
      </c>
    </row>
    <row r="230">
      <c r="A230" s="4">
        <v>46219</v>
      </c>
      <c r="B230" s="2" t="inlineStr">
        <is>
          <t xml:space="preserve">McDonald's F31556 Little River</t>
        </is>
      </c>
      <c r="C230" s="2" t="inlineStr">
        <is>
          <t xml:space="preserve">Restaurants &amp; Takeout</t>
        </is>
      </c>
      <c r="D230" s="3">
        <v>12.04</v>
      </c>
    </row>
    <row r="231">
      <c r="A231" s="4">
        <v>46219</v>
      </c>
      <c r="B231" s="2" t="inlineStr">
        <is>
          <t xml:space="preserve">Tst*Little Pigs Bb Myrtle Beach</t>
        </is>
      </c>
      <c r="C231" s="2" t="inlineStr">
        <is>
          <t xml:space="preserve">Restaurants &amp; Takeout</t>
        </is>
      </c>
      <c r="D231" s="3">
        <v>19.89</v>
      </c>
    </row>
    <row r="232">
      <c r="A232" s="4">
        <v>46220</v>
      </c>
      <c r="B232" s="2" t="inlineStr">
        <is>
          <t xml:space="preserve">McDonald's F12282 Warsaw NC</t>
        </is>
      </c>
      <c r="C232" s="2" t="inlineStr">
        <is>
          <t xml:space="preserve">Restaurants &amp; Takeout</t>
        </is>
      </c>
      <c r="D232" s="3">
        <v>15.39</v>
      </c>
    </row>
    <row r="233">
      <c r="A233" s="4">
        <v>46223</v>
      </c>
      <c r="B233" s="2" t="inlineStr">
        <is>
          <t xml:space="preserve">Cruizers 81 Oxford NC</t>
        </is>
      </c>
      <c r="C233" s="2" t="inlineStr">
        <is>
          <t xml:space="preserve">Restaurants &amp; Takeout</t>
        </is>
      </c>
      <c r="D233" s="3">
        <v>37.85</v>
      </c>
    </row>
    <row r="234">
      <c r="A234" s="4">
        <v>46223</v>
      </c>
      <c r="B234" s="2" t="inlineStr">
        <is>
          <t xml:space="preserve">Wendy's #8117 Warsaw NC</t>
        </is>
      </c>
      <c r="C234" s="2" t="inlineStr">
        <is>
          <t xml:space="preserve">Restaurants &amp; Takeout</t>
        </is>
      </c>
      <c r="D234" s="3">
        <v>20.29</v>
      </c>
    </row>
    <row r="235">
      <c r="A235" s="4">
        <v>46223</v>
      </c>
      <c r="B235" s="2" t="inlineStr">
        <is>
          <t xml:space="preserve">Tst* Sorella Pizza Holden Beach</t>
        </is>
      </c>
      <c r="C235" s="2" t="inlineStr">
        <is>
          <t xml:space="preserve">Restaurants &amp; Takeout</t>
        </is>
      </c>
      <c r="D235" s="3">
        <v>62.71</v>
      </c>
    </row>
    <row r="236">
      <c r="A236" s="4">
        <v>46224</v>
      </c>
      <c r="B236" s="2" t="inlineStr">
        <is>
          <t xml:space="preserve">Cook Out Southport Southport</t>
        </is>
      </c>
      <c r="C236" s="2" t="inlineStr">
        <is>
          <t xml:space="preserve">Restaurants &amp; Takeout</t>
        </is>
      </c>
      <c r="D236" s="3">
        <v>4.26</v>
      </c>
    </row>
    <row r="237">
      <c r="A237" s="4">
        <v>46224</v>
      </c>
      <c r="B237" s="2" t="inlineStr">
        <is>
          <t xml:space="preserve">McDonald's F31556 Little River</t>
        </is>
      </c>
      <c r="C237" s="2" t="inlineStr">
        <is>
          <t xml:space="preserve">Restaurants &amp; Takeout</t>
        </is>
      </c>
      <c r="D237" s="3">
        <v>12.04</v>
      </c>
    </row>
    <row r="238">
      <c r="A238" s="4">
        <v>46225</v>
      </c>
      <c r="B238" s="2" t="inlineStr">
        <is>
          <t xml:space="preserve">Bagel Dock Express Southport</t>
        </is>
      </c>
      <c r="C238" s="2" t="inlineStr">
        <is>
          <t xml:space="preserve">Restaurants &amp; Takeout</t>
        </is>
      </c>
      <c r="D238" s="3">
        <v>18.45</v>
      </c>
    </row>
    <row r="239">
      <c r="A239" s="4">
        <v>46225</v>
      </c>
      <c r="B239" s="2" t="inlineStr">
        <is>
          <t xml:space="preserve">McDonald's F35966 Supply NC</t>
        </is>
      </c>
      <c r="C239" s="2" t="inlineStr">
        <is>
          <t xml:space="preserve">Restaurants &amp; Takeout</t>
        </is>
      </c>
      <c r="D239" s="3">
        <v>8.92</v>
      </c>
    </row>
    <row r="240">
      <c r="A240" s="4">
        <v>46226</v>
      </c>
      <c r="B240" s="2" t="inlineStr">
        <is>
          <t xml:space="preserve">Joey O's Brick Ove Ocean Isle Be</t>
        </is>
      </c>
      <c r="C240" s="2" t="inlineStr">
        <is>
          <t xml:space="preserve">Restaurants &amp; Takeout</t>
        </is>
      </c>
      <c r="D240" s="3">
        <v>32.67</v>
      </c>
    </row>
    <row r="241">
      <c r="A241" s="7"/>
      <c r="B241" s="7"/>
      <c r="C241" s="7" t="inlineStr">
        <is>
          <t xml:space="preserve">Subtotal – Restaurants &amp; Takeout</t>
        </is>
      </c>
      <c r="D241" s="6">
        <f>SUM(D201:D240)</f>
        <v>909.94</v>
      </c>
    </row>
    <row r="242">
      <c r="A242" s="4">
        <v>46198</v>
      </c>
      <c r="B242" s="2" t="inlineStr">
        <is>
          <t xml:space="preserve">Shell Service Station Little River</t>
        </is>
      </c>
      <c r="C242" s="2" t="inlineStr">
        <is>
          <t xml:space="preserve">Gas &amp; Convenience Stores</t>
        </is>
      </c>
      <c r="D242" s="3">
        <v>46.84</v>
      </c>
    </row>
    <row r="243">
      <c r="A243" s="4">
        <v>46198</v>
      </c>
      <c r="B243" s="2" t="inlineStr">
        <is>
          <t xml:space="preserve">Circle K # 23140 Little River SC</t>
        </is>
      </c>
      <c r="C243" s="2" t="inlineStr">
        <is>
          <t xml:space="preserve">Gas &amp; Convenience Stores</t>
        </is>
      </c>
      <c r="D243" s="3">
        <v>5.78</v>
      </c>
    </row>
    <row r="244">
      <c r="A244" s="4">
        <v>46205</v>
      </c>
      <c r="B244" s="2" t="inlineStr">
        <is>
          <t xml:space="preserve">Shell Service Station Henderson</t>
        </is>
      </c>
      <c r="C244" s="2" t="inlineStr">
        <is>
          <t xml:space="preserve">Gas &amp; Convenience Stores</t>
        </is>
      </c>
      <c r="D244" s="3">
        <v>49.87</v>
      </c>
    </row>
    <row r="245">
      <c r="A245" s="4">
        <v>46216</v>
      </c>
      <c r="B245" s="2" t="inlineStr">
        <is>
          <t xml:space="preserve">Marathon Supply NC</t>
        </is>
      </c>
      <c r="C245" s="2" t="inlineStr">
        <is>
          <t xml:space="preserve">Gas &amp; Convenience Stores</t>
        </is>
      </c>
      <c r="D245" s="3">
        <v>3.24</v>
      </c>
    </row>
    <row r="246">
      <c r="A246" s="4">
        <v>46218</v>
      </c>
      <c r="B246" s="2" t="inlineStr">
        <is>
          <t xml:space="preserve">Circlek #2723140 3498 Little</t>
        </is>
      </c>
      <c r="C246" s="2" t="inlineStr">
        <is>
          <t xml:space="preserve">Gas &amp; Convenience Stores</t>
        </is>
      </c>
      <c r="D246" s="3">
        <v>50.55</v>
      </c>
    </row>
    <row r="247">
      <c r="A247" s="4">
        <v>46218</v>
      </c>
      <c r="B247" s="2" t="inlineStr">
        <is>
          <t xml:space="preserve">Circlek #2723140 3498 Little</t>
        </is>
      </c>
      <c r="C247" s="2" t="inlineStr">
        <is>
          <t xml:space="preserve">Gas &amp; Convenience Stores</t>
        </is>
      </c>
      <c r="D247" s="3">
        <v>1.99</v>
      </c>
    </row>
    <row r="248">
      <c r="A248" s="4">
        <v>46219</v>
      </c>
      <c r="B248" s="2" t="inlineStr">
        <is>
          <t xml:space="preserve">Refuel 119 Oxford NC</t>
        </is>
      </c>
      <c r="C248" s="2" t="inlineStr">
        <is>
          <t xml:space="preserve">Gas &amp; Convenience Stores</t>
        </is>
      </c>
      <c r="D248" s="3">
        <v>5.61</v>
      </c>
    </row>
    <row r="249">
      <c r="A249" s="4">
        <v>46220</v>
      </c>
      <c r="B249" s="2" t="inlineStr">
        <is>
          <t xml:space="preserve">Speedway 44658 Raleigh NC</t>
        </is>
      </c>
      <c r="C249" s="2" t="inlineStr">
        <is>
          <t xml:space="preserve">Gas &amp; Convenience Stores</t>
        </is>
      </c>
      <c r="D249" s="3">
        <v>1.62</v>
      </c>
    </row>
    <row r="250">
      <c r="A250" s="4">
        <v>46223</v>
      </c>
      <c r="B250" s="2" t="inlineStr">
        <is>
          <t xml:space="preserve">Circlek #2723140 3498 Little</t>
        </is>
      </c>
      <c r="C250" s="2" t="inlineStr">
        <is>
          <t xml:space="preserve">Gas &amp; Convenience Stores</t>
        </is>
      </c>
      <c r="D250" s="3">
        <v>5.18</v>
      </c>
    </row>
    <row r="251">
      <c r="A251" s="4">
        <v>46224</v>
      </c>
      <c r="B251" s="2" t="inlineStr">
        <is>
          <t xml:space="preserve">Circlek #2723135 8920 Oak</t>
        </is>
      </c>
      <c r="C251" s="2" t="inlineStr">
        <is>
          <t xml:space="preserve">Gas &amp; Convenience Stores</t>
        </is>
      </c>
      <c r="D251" s="3">
        <v>48.9</v>
      </c>
    </row>
    <row r="252">
      <c r="A252" s="4">
        <v>46224</v>
      </c>
      <c r="B252" s="2" t="inlineStr">
        <is>
          <t xml:space="preserve">Circlek #2723487 16 Oc Supply</t>
        </is>
      </c>
      <c r="C252" s="2" t="inlineStr">
        <is>
          <t xml:space="preserve">Gas &amp; Convenience Stores</t>
        </is>
      </c>
      <c r="D252" s="3">
        <v>58.29</v>
      </c>
    </row>
    <row r="253">
      <c r="A253" s="7"/>
      <c r="B253" s="7"/>
      <c r="C253" s="7" t="inlineStr">
        <is>
          <t xml:space="preserve">Subtotal – Gas &amp; Convenience Stores</t>
        </is>
      </c>
      <c r="D253" s="6">
        <f>SUM(D242:D252)</f>
        <v>277.87</v>
      </c>
    </row>
    <row r="254">
      <c r="A254" s="4">
        <v>46202</v>
      </c>
      <c r="B254" s="2" t="inlineStr">
        <is>
          <t xml:space="preserve">Google *Youtube Tv</t>
        </is>
      </c>
      <c r="C254" s="2" t="inlineStr">
        <is>
          <t xml:space="preserve">Streaming – YouTube TV (Google)</t>
        </is>
      </c>
      <c r="D254" s="3">
        <v>89.0</v>
      </c>
    </row>
    <row r="255">
      <c r="A255" s="4">
        <v>46202</v>
      </c>
      <c r="B255" s="2" t="inlineStr">
        <is>
          <t xml:space="preserve">Google *Youtube Tv</t>
        </is>
      </c>
      <c r="C255" s="2" t="inlineStr">
        <is>
          <t xml:space="preserve">Streaming – YouTube TV (Google)</t>
        </is>
      </c>
      <c r="D255" s="3">
        <v>11.78</v>
      </c>
    </row>
    <row r="256">
      <c r="A256" s="7"/>
      <c r="B256" s="7"/>
      <c r="C256" s="7" t="inlineStr">
        <is>
          <t xml:space="preserve">Subtotal – Streaming – YouTube TV (Google)</t>
        </is>
      </c>
      <c r="D256" s="6">
        <f>SUM(D254:D255)</f>
        <v>100.78</v>
      </c>
    </row>
    <row r="257">
      <c r="A257" s="4">
        <v>46216</v>
      </c>
      <c r="B257" s="2" t="inlineStr">
        <is>
          <t xml:space="preserve">Espn 800-7271800 NY</t>
        </is>
      </c>
      <c r="C257" s="2" t="inlineStr">
        <is>
          <t xml:space="preserve">Streaming – ESPN (Sept billed as Disney Plus)</t>
        </is>
      </c>
      <c r="D257" s="3">
        <v>13.87</v>
      </c>
    </row>
    <row r="258">
      <c r="A258" s="7"/>
      <c r="B258" s="7"/>
      <c r="C258" s="7" t="inlineStr">
        <is>
          <t xml:space="preserve">Subtotal – Streaming – ESPN (Sept billed as Disney Plus)</t>
        </is>
      </c>
      <c r="D258" s="6">
        <f>SUM(D257:D257)</f>
        <v>13.87</v>
      </c>
    </row>
    <row r="259">
      <c r="A259" s="4">
        <v>46202</v>
      </c>
      <c r="B259" s="2" t="inlineStr">
        <is>
          <t xml:space="preserve">Roku for Disney El</t>
        </is>
      </c>
      <c r="C259" s="2" t="inlineStr">
        <is>
          <t xml:space="preserve">Streaming – Disney (via Roku)</t>
        </is>
      </c>
      <c r="D259" s="3">
        <v>20.27</v>
      </c>
    </row>
    <row r="260">
      <c r="A260" s="7"/>
      <c r="B260" s="7"/>
      <c r="C260" s="7" t="inlineStr">
        <is>
          <t xml:space="preserve">Subtotal – Streaming – Disney (via Roku)</t>
        </is>
      </c>
      <c r="D260" s="6">
        <f>SUM(D259:D259)</f>
        <v>20.27</v>
      </c>
    </row>
    <row r="261">
      <c r="A261" s="4">
        <v>46225</v>
      </c>
      <c r="B261" s="2" t="inlineStr">
        <is>
          <t xml:space="preserve">Help.Hbomax.Com</t>
        </is>
      </c>
      <c r="C261" s="2" t="inlineStr">
        <is>
          <t xml:space="preserve">Streaming – HBO Max</t>
        </is>
      </c>
      <c r="D261" s="3">
        <v>19.74</v>
      </c>
    </row>
    <row r="262">
      <c r="A262" s="7"/>
      <c r="B262" s="7"/>
      <c r="C262" s="7" t="inlineStr">
        <is>
          <t xml:space="preserve">Subtotal – Streaming – HBO Max</t>
        </is>
      </c>
      <c r="D262" s="6">
        <f>SUM(D261:D261)</f>
        <v>19.74</v>
      </c>
    </row>
    <row r="263">
      <c r="A263" s="4">
        <v>46198</v>
      </c>
      <c r="B263" s="2" t="inlineStr">
        <is>
          <t xml:space="preserve">Hulu Santa Monica CA</t>
        </is>
      </c>
      <c r="C263" s="2" t="inlineStr">
        <is>
          <t xml:space="preserve">Streaming – Hulu</t>
        </is>
      </c>
      <c r="D263" s="3">
        <v>12.8</v>
      </c>
    </row>
    <row r="264">
      <c r="A264" s="7"/>
      <c r="B264" s="7"/>
      <c r="C264" s="7" t="inlineStr">
        <is>
          <t xml:space="preserve">Subtotal – Streaming – Hulu</t>
        </is>
      </c>
      <c r="D264" s="6">
        <f>SUM(D263:D263)</f>
        <v>12.8</v>
      </c>
    </row>
    <row r="265">
      <c r="A265" s="4">
        <v>46225</v>
      </c>
      <c r="B265" s="2" t="inlineStr">
        <is>
          <t xml:space="preserve">Roku for Peacock T</t>
        </is>
      </c>
      <c r="C265" s="2" t="inlineStr">
        <is>
          <t xml:space="preserve">Streaming – Peacock (via Roku)</t>
        </is>
      </c>
      <c r="D265" s="3">
        <v>11.73</v>
      </c>
    </row>
    <row r="266">
      <c r="A266" s="7"/>
      <c r="B266" s="7"/>
      <c r="C266" s="7" t="inlineStr">
        <is>
          <t xml:space="preserve">Subtotal – Streaming – Peacock (via Roku)</t>
        </is>
      </c>
      <c r="D266" s="6">
        <f>SUM(D265:D265)</f>
        <v>11.73</v>
      </c>
    </row>
    <row r="267">
      <c r="A267" s="4">
        <v>46209</v>
      </c>
      <c r="B267" s="2" t="inlineStr">
        <is>
          <t xml:space="preserve">Frndlytv Inc*+ 1Ad</t>
        </is>
      </c>
      <c r="C267" s="2" t="inlineStr">
        <is>
          <t xml:space="preserve">Streaming – Frndly TV</t>
        </is>
      </c>
      <c r="D267" s="3">
        <v>22.41</v>
      </c>
    </row>
    <row r="268">
      <c r="A268" s="7"/>
      <c r="B268" s="7"/>
      <c r="C268" s="7" t="inlineStr">
        <is>
          <t xml:space="preserve">Subtotal – Streaming – Frndly TV</t>
        </is>
      </c>
      <c r="D268" s="6">
        <f>SUM(D267:D267)</f>
        <v>22.41</v>
      </c>
    </row>
    <row r="269">
      <c r="A269" s="4">
        <v>46198</v>
      </c>
      <c r="B269" s="2" t="inlineStr">
        <is>
          <t xml:space="preserve">Propertyrecs.Com</t>
        </is>
      </c>
      <c r="C269" s="2" t="inlineStr">
        <is>
          <t xml:space="preserve">Software &amp; Online Subscriptions</t>
        </is>
      </c>
      <c r="D269" s="3">
        <v>20.0</v>
      </c>
    </row>
    <row r="270">
      <c r="A270" s="4">
        <v>46198</v>
      </c>
      <c r="B270" s="2" t="inlineStr">
        <is>
          <t xml:space="preserve">Apple.Com/Bill</t>
        </is>
      </c>
      <c r="C270" s="2" t="inlineStr">
        <is>
          <t xml:space="preserve">Software &amp; Online Subscriptions</t>
        </is>
      </c>
      <c r="D270" s="3">
        <v>2.99</v>
      </c>
    </row>
    <row r="271">
      <c r="A271" s="4">
        <v>46199</v>
      </c>
      <c r="B271" s="2" t="inlineStr">
        <is>
          <t xml:space="preserve">Openai *Chatgpt Su</t>
        </is>
      </c>
      <c r="C271" s="2" t="inlineStr">
        <is>
          <t xml:space="preserve">Software &amp; Online Subscriptions</t>
        </is>
      </c>
      <c r="D271" s="3">
        <v>20.0</v>
      </c>
    </row>
    <row r="272">
      <c r="A272" s="4">
        <v>46216</v>
      </c>
      <c r="B272" s="2" t="inlineStr">
        <is>
          <t xml:space="preserve">Propertyrecs.Com</t>
        </is>
      </c>
      <c r="C272" s="2" t="inlineStr">
        <is>
          <t xml:space="preserve">Software &amp; Online Subscriptions</t>
        </is>
      </c>
      <c r="D272" s="3">
        <v>20.0</v>
      </c>
    </row>
    <row r="273">
      <c r="A273" s="4">
        <v>46223</v>
      </c>
      <c r="B273" s="2" t="inlineStr">
        <is>
          <t xml:space="preserve">Adobe *Adobe</t>
        </is>
      </c>
      <c r="C273" s="2" t="inlineStr">
        <is>
          <t xml:space="preserve">Software &amp; Online Subscriptions</t>
        </is>
      </c>
      <c r="D273" s="3">
        <v>75.06</v>
      </c>
    </row>
    <row r="274">
      <c r="A274" s="4">
        <v>46226</v>
      </c>
      <c r="B274" s="2" t="inlineStr">
        <is>
          <t xml:space="preserve">Ww Int'L-Digital</t>
        </is>
      </c>
      <c r="C274" s="2" t="inlineStr">
        <is>
          <t xml:space="preserve">Software &amp; Online Subscriptions</t>
        </is>
      </c>
      <c r="D274" s="3">
        <v>23.0</v>
      </c>
    </row>
    <row r="275">
      <c r="A275" s="7"/>
      <c r="B275" s="7"/>
      <c r="C275" s="7" t="inlineStr">
        <is>
          <t xml:space="preserve">Subtotal – Software &amp; Online Subscriptions</t>
        </is>
      </c>
      <c r="D275" s="6">
        <f>SUM(D269:D274)</f>
        <v>161.05</v>
      </c>
    </row>
    <row r="276">
      <c r="A276" s="4">
        <v>46202</v>
      </c>
      <c r="B276" s="2" t="inlineStr">
        <is>
          <t xml:space="preserve">Cvs/Pharmacy #07 07382--5</t>
        </is>
      </c>
      <c r="C276" s="2" t="inlineStr">
        <is>
          <t xml:space="preserve">CVS Pharmacy</t>
        </is>
      </c>
      <c r="D276" s="3">
        <v>14.99</v>
      </c>
    </row>
    <row r="277">
      <c r="A277" s="4">
        <v>46213</v>
      </c>
      <c r="B277" s="2" t="inlineStr">
        <is>
          <t xml:space="preserve">Cvs/Pharmacy #07382</t>
        </is>
      </c>
      <c r="C277" s="2" t="inlineStr">
        <is>
          <t xml:space="preserve">CVS Pharmacy</t>
        </is>
      </c>
      <c r="D277" s="3">
        <v>56.33</v>
      </c>
    </row>
    <row r="278">
      <c r="A278" s="4">
        <v>46224</v>
      </c>
      <c r="B278" s="2" t="inlineStr">
        <is>
          <t xml:space="preserve">Cvs/Pharmacy #0738 South Port</t>
        </is>
      </c>
      <c r="C278" s="2" t="inlineStr">
        <is>
          <t xml:space="preserve">CVS Pharmacy</t>
        </is>
      </c>
      <c r="D278" s="3">
        <v>29.61</v>
      </c>
    </row>
    <row r="279">
      <c r="A279" s="7"/>
      <c r="B279" s="7"/>
      <c r="C279" s="7" t="inlineStr">
        <is>
          <t xml:space="preserve">Subtotal – CVS Pharmacy</t>
        </is>
      </c>
      <c r="D279" s="6">
        <f>SUM(D276:D278)</f>
        <v>100.93</v>
      </c>
    </row>
    <row r="280">
      <c r="A280" s="4">
        <v>46203</v>
      </c>
      <c r="B280" s="2" t="inlineStr">
        <is>
          <t xml:space="preserve">Mms-Granville Med Oxford NC</t>
        </is>
      </c>
      <c r="C280" s="2" t="inlineStr">
        <is>
          <t xml:space="preserve">Medical – Granville Medical Center (Oxford)</t>
        </is>
      </c>
      <c r="D280" s="3">
        <v>10.1</v>
      </c>
    </row>
    <row r="281">
      <c r="A281" s="4">
        <v>46204</v>
      </c>
      <c r="B281" s="2" t="inlineStr">
        <is>
          <t xml:space="preserve">Mms-Granville Med Oxford NC</t>
        </is>
      </c>
      <c r="C281" s="2" t="inlineStr">
        <is>
          <t xml:space="preserve">Medical – Granville Medical Center (Oxford)</t>
        </is>
      </c>
      <c r="D281" s="3">
        <v>8.85</v>
      </c>
    </row>
    <row r="282">
      <c r="A282" s="4">
        <v>46205</v>
      </c>
      <c r="B282" s="2" t="inlineStr">
        <is>
          <t xml:space="preserve">Mms-Granville Med Oxford NC</t>
        </is>
      </c>
      <c r="C282" s="2" t="inlineStr">
        <is>
          <t xml:space="preserve">Medical – Granville Medical Center (Oxford)</t>
        </is>
      </c>
      <c r="D282" s="3">
        <v>6.21</v>
      </c>
    </row>
    <row r="283">
      <c r="A283" s="7"/>
      <c r="B283" s="7"/>
      <c r="C283" s="7" t="inlineStr">
        <is>
          <t xml:space="preserve">Subtotal – Medical – Granville Medical Center (Oxford)</t>
        </is>
      </c>
      <c r="D283" s="6">
        <f>SUM(D280:D282)</f>
        <v>25.16</v>
      </c>
    </row>
    <row r="284">
      <c r="A284" s="4">
        <v>46202</v>
      </c>
      <c r="B284" s="2" t="inlineStr">
        <is>
          <t xml:space="preserve">Wal-Mart #2256 Henderson NC</t>
        </is>
      </c>
      <c r="C284" s="2" t="inlineStr">
        <is>
          <t xml:space="preserve">Retail – Walmart</t>
        </is>
      </c>
      <c r="D284" s="3">
        <v>57.43</v>
      </c>
    </row>
    <row r="285">
      <c r="A285" s="4">
        <v>46202</v>
      </c>
      <c r="B285" s="2" t="inlineStr">
        <is>
          <t xml:space="preserve">WM Supercenter #2256</t>
        </is>
      </c>
      <c r="C285" s="2" t="inlineStr">
        <is>
          <t xml:space="preserve">Retail – Walmart</t>
        </is>
      </c>
      <c r="D285" s="3">
        <v>19.06</v>
      </c>
    </row>
    <row r="286">
      <c r="A286" s="4">
        <v>46204</v>
      </c>
      <c r="B286" s="2" t="inlineStr">
        <is>
          <t xml:space="preserve">WM Supercenter #2256</t>
        </is>
      </c>
      <c r="C286" s="2" t="inlineStr">
        <is>
          <t xml:space="preserve">Retail – Walmart</t>
        </is>
      </c>
      <c r="D286" s="3">
        <v>12.21</v>
      </c>
    </row>
    <row r="287">
      <c r="A287" s="4">
        <v>46210</v>
      </c>
      <c r="B287" s="2" t="inlineStr">
        <is>
          <t xml:space="preserve">WM Supercenter #5923 Myrtle</t>
        </is>
      </c>
      <c r="C287" s="2" t="inlineStr">
        <is>
          <t xml:space="preserve">Retail – Walmart</t>
        </is>
      </c>
      <c r="D287" s="3">
        <v>43.96</v>
      </c>
    </row>
    <row r="288">
      <c r="A288" s="7"/>
      <c r="B288" s="7"/>
      <c r="C288" s="7" t="inlineStr">
        <is>
          <t xml:space="preserve">Subtotal – Retail – Walmart</t>
        </is>
      </c>
      <c r="D288" s="6">
        <f>SUM(D284:D287)</f>
        <v>132.66</v>
      </c>
    </row>
    <row r="289">
      <c r="A289" s="4">
        <v>46213</v>
      </c>
      <c r="B289" s="2" t="inlineStr">
        <is>
          <t xml:space="preserve">Belk Syf Paymnt Jul 10 604583156390724 Dempseyleigh</t>
        </is>
      </c>
      <c r="C289" s="2" t="inlineStr">
        <is>
          <t xml:space="preserve">Retail – Belk (store card payments)</t>
        </is>
      </c>
      <c r="D289" s="3">
        <v>371.08</v>
      </c>
    </row>
    <row r="290">
      <c r="A290" s="4">
        <v>46219</v>
      </c>
      <c r="B290" s="2" t="inlineStr">
        <is>
          <t xml:space="preserve">Belk Syf Paymnt Jul 16 604583156390724 Dempseyleigh</t>
        </is>
      </c>
      <c r="C290" s="2" t="inlineStr">
        <is>
          <t xml:space="preserve">Retail – Belk (store card payments)</t>
        </is>
      </c>
      <c r="D290" s="3">
        <v>576.96</v>
      </c>
    </row>
    <row r="291">
      <c r="A291" s="7"/>
      <c r="B291" s="7"/>
      <c r="C291" s="7" t="inlineStr">
        <is>
          <t xml:space="preserve">Subtotal – Retail – Belk (store card payments)</t>
        </is>
      </c>
      <c r="D291" s="6">
        <f>SUM(D289:D290)</f>
        <v>948.04</v>
      </c>
    </row>
    <row r="292">
      <c r="A292" s="4">
        <v>46213</v>
      </c>
      <c r="B292" s="2" t="inlineStr">
        <is>
          <t xml:space="preserve">Dicks Sporting Goo Wilmington</t>
        </is>
      </c>
      <c r="C292" s="2" t="inlineStr">
        <is>
          <t xml:space="preserve">Retail – Dick's Sporting Goods</t>
        </is>
      </c>
      <c r="D292" s="3">
        <v>63.61</v>
      </c>
    </row>
    <row r="293">
      <c r="A293" s="7"/>
      <c r="B293" s="7"/>
      <c r="C293" s="7" t="inlineStr">
        <is>
          <t xml:space="preserve">Subtotal – Retail – Dick's Sporting Goods</t>
        </is>
      </c>
      <c r="D293" s="6">
        <f>SUM(D292:D292)</f>
        <v>63.61</v>
      </c>
    </row>
    <row r="294">
      <c r="A294" s="4">
        <v>46226</v>
      </c>
      <c r="B294" s="2" t="inlineStr">
        <is>
          <t xml:space="preserve">Dollar General # Dg 11290</t>
        </is>
      </c>
      <c r="C294" s="2" t="inlineStr">
        <is>
          <t xml:space="preserve">Retail – Dollar Tree / Dollar General</t>
        </is>
      </c>
      <c r="D294" s="3">
        <v>5.87</v>
      </c>
    </row>
    <row r="295">
      <c r="A295" s="7"/>
      <c r="B295" s="7"/>
      <c r="C295" s="7" t="inlineStr">
        <is>
          <t xml:space="preserve">Subtotal – Retail – Dollar Tree / Dollar General</t>
        </is>
      </c>
      <c r="D295" s="6">
        <f>SUM(D294:D294)</f>
        <v>5.87</v>
      </c>
    </row>
    <row r="296">
      <c r="A296" s="4">
        <v>46210</v>
      </c>
      <c r="B296" s="2" t="inlineStr">
        <is>
          <t xml:space="preserve">Autobks*Nextgen LA</t>
        </is>
      </c>
      <c r="C296" s="2" t="inlineStr">
        <is>
          <t xml:space="preserve">Yard Company (NextGen)</t>
        </is>
      </c>
      <c r="D296" s="3">
        <v>100.0</v>
      </c>
    </row>
    <row r="297">
      <c r="A297" s="7"/>
      <c r="B297" s="7"/>
      <c r="C297" s="7" t="inlineStr">
        <is>
          <t xml:space="preserve">Subtotal – Yard Company (NextGen)</t>
        </is>
      </c>
      <c r="D297" s="6">
        <f>SUM(D296:D296)</f>
        <v>100.0</v>
      </c>
    </row>
    <row r="298">
      <c r="A298" s="4">
        <v>46218</v>
      </c>
      <c r="B298" s="2" t="inlineStr">
        <is>
          <t xml:space="preserve">Wwp*Spring-Green L</t>
        </is>
      </c>
      <c r="C298" s="2" t="inlineStr">
        <is>
          <t xml:space="preserve">Home Services (Pest Control, Lawn Treatment)</t>
        </is>
      </c>
      <c r="D298" s="3">
        <v>142.05</v>
      </c>
    </row>
    <row r="299">
      <c r="A299" s="7"/>
      <c r="B299" s="7"/>
      <c r="C299" s="7" t="inlineStr">
        <is>
          <t xml:space="preserve">Subtotal – Home Services (Pest Control, Lawn Treatment)</t>
        </is>
      </c>
      <c r="D299" s="6">
        <f>SUM(D298:D298)</f>
        <v>142.05</v>
      </c>
    </row>
    <row r="300">
      <c r="A300" s="4">
        <v>46202</v>
      </c>
      <c r="B300" s="2" t="inlineStr">
        <is>
          <t xml:space="preserve">St. James Marina Southport NC</t>
        </is>
      </c>
      <c r="C300" s="2" t="inlineStr">
        <is>
          <t xml:space="preserve">St. James Marina</t>
        </is>
      </c>
      <c r="D300" s="3">
        <v>18.64</v>
      </c>
    </row>
    <row r="301">
      <c r="A301" s="4">
        <v>46218</v>
      </c>
      <c r="B301" s="2" t="inlineStr">
        <is>
          <t xml:space="preserve">St. James Marina Southport NC</t>
        </is>
      </c>
      <c r="C301" s="2" t="inlineStr">
        <is>
          <t xml:space="preserve">St. James Marina</t>
        </is>
      </c>
      <c r="D301" s="3">
        <v>14.9</v>
      </c>
    </row>
    <row r="302">
      <c r="A302" s="7"/>
      <c r="B302" s="7"/>
      <c r="C302" s="7" t="inlineStr">
        <is>
          <t xml:space="preserve">Subtotal – St. James Marina</t>
        </is>
      </c>
      <c r="D302" s="6">
        <f>SUM(D300:D301)</f>
        <v>33.54</v>
      </c>
    </row>
    <row r="303">
      <c r="A303" s="4">
        <v>46209</v>
      </c>
      <c r="B303" s="2" t="inlineStr">
        <is>
          <t xml:space="preserve">Venmo *Ryan</t>
        </is>
      </c>
      <c r="C303" s="2" t="inlineStr">
        <is>
          <t xml:space="preserve">Transfers to People (Venmo/Zelle)</t>
        </is>
      </c>
      <c r="D303" s="3">
        <v>700.0</v>
      </c>
    </row>
    <row r="304">
      <c r="A304" s="4">
        <v>46209</v>
      </c>
      <c r="B304" s="2" t="inlineStr">
        <is>
          <t xml:space="preserve">Venmo *Tracy Middleton</t>
        </is>
      </c>
      <c r="C304" s="2" t="inlineStr">
        <is>
          <t xml:space="preserve">Transfers to People (Venmo/Zelle)</t>
        </is>
      </c>
      <c r="D304" s="3">
        <v>64.05</v>
      </c>
    </row>
    <row r="305">
      <c r="A305" s="7"/>
      <c r="B305" s="7"/>
      <c r="C305" s="7" t="inlineStr">
        <is>
          <t xml:space="preserve">Subtotal – Transfers to People (Venmo/Zelle)</t>
        </is>
      </c>
      <c r="D305" s="6">
        <f>SUM(D303:D304)</f>
        <v>764.05</v>
      </c>
    </row>
    <row r="306">
      <c r="A306" s="8"/>
      <c r="B306" s="8"/>
      <c r="C306" s="8" t="inlineStr">
        <is>
          <t xml:space="preserve">TOTAL SPENDING – July 2026</t>
        </is>
      </c>
      <c r="D306" s="9">
        <f>D163+D165+D167+D169+D171+D173+D175+D177+D179+D190+D198+D200+D241+D253+D256+D258+D260+D262+D264+D266+D268+D275+D279+D283+D288+D291+D293+D295+D297+D299+D302+D305</f>
        <v>12163.24</v>
      </c>
    </row>
    <row r="307">
      <c r="C307" s="12" t="inlineStr">
        <is>
          <t xml:space="preserve">Check vs. Monthly Summary (should be $0)</t>
        </is>
      </c>
      <c r="D307" s="3">
        <f>D306-'Monthly Summary'!C120</f>
        <v>0.0</v>
      </c>
    </row>
    <row r="310">
      <c r="A310" s="6" t="inlineStr">
        <is>
          <t xml:space="preserve">August 2026  ·  statement period 7/24–8/25/26</t>
        </is>
      </c>
      <c r="B310" s="6"/>
      <c r="C310" s="6"/>
      <c r="D310" s="6"/>
    </row>
    <row r="311">
      <c r="A311" s="1" t="inlineStr">
        <is>
          <t xml:space="preserve">Date</t>
        </is>
      </c>
      <c r="B311" s="15" t="inlineStr">
        <is>
          <t xml:space="preserve">Description</t>
        </is>
      </c>
      <c r="C311" s="1" t="inlineStr">
        <is>
          <t xml:space="preserve">Category</t>
        </is>
      </c>
      <c r="D311" s="1" t="inlineStr">
        <is>
          <t xml:space="preserve">Amount</t>
        </is>
      </c>
    </row>
    <row r="312">
      <c r="A312" s="4">
        <v>46251</v>
      </c>
      <c r="B312" s="2" t="inlineStr">
        <is>
          <t xml:space="preserve">A&amp;D Mortgage LLC Re Payment</t>
        </is>
      </c>
      <c r="C312" s="2" t="inlineStr">
        <is>
          <t xml:space="preserve">A&amp;D Mortgage</t>
        </is>
      </c>
      <c r="D312" s="3">
        <v>3411.1</v>
      </c>
    </row>
    <row r="313">
      <c r="A313" s="7"/>
      <c r="B313" s="7"/>
      <c r="C313" s="7" t="inlineStr">
        <is>
          <t xml:space="preserve">Subtotal – A&amp;D Mortgage</t>
        </is>
      </c>
      <c r="D313" s="6">
        <f>SUM(D312:D312)</f>
        <v>3411.1</v>
      </c>
    </row>
    <row r="314">
      <c r="A314" s="4">
        <v>46254</v>
      </c>
      <c r="B314" s="2" t="inlineStr">
        <is>
          <t xml:space="preserve">St James 7134 Pap</t>
        </is>
      </c>
      <c r="C314" s="2" t="inlineStr">
        <is>
          <t xml:space="preserve">St. James Membership (Club)</t>
        </is>
      </c>
      <c r="D314" s="3">
        <v>1492.11</v>
      </c>
    </row>
    <row r="315">
      <c r="A315" s="7"/>
      <c r="B315" s="7"/>
      <c r="C315" s="7" t="inlineStr">
        <is>
          <t xml:space="preserve">Subtotal – St. James Membership (Club)</t>
        </is>
      </c>
      <c r="D315" s="6">
        <f>SUM(D314:D314)</f>
        <v>1492.11</v>
      </c>
    </row>
    <row r="316">
      <c r="A316" s="4">
        <v>46237</v>
      </c>
      <c r="B316" s="2" t="inlineStr">
        <is>
          <t xml:space="preserve">Allstate *Payme 800-255-7828</t>
        </is>
      </c>
      <c r="C316" s="2" t="inlineStr">
        <is>
          <t xml:space="preserve">Allstate Insurance</t>
        </is>
      </c>
      <c r="D316" s="3">
        <v>115.0</v>
      </c>
    </row>
    <row r="317">
      <c r="A317" s="4">
        <v>46254</v>
      </c>
      <c r="B317" s="2" t="inlineStr">
        <is>
          <t xml:space="preserve">Allstate *Paymn</t>
        </is>
      </c>
      <c r="C317" s="2" t="inlineStr">
        <is>
          <t xml:space="preserve">Allstate Insurance</t>
        </is>
      </c>
      <c r="D317" s="3">
        <v>360.42</v>
      </c>
    </row>
    <row r="318">
      <c r="A318" s="7"/>
      <c r="B318" s="7"/>
      <c r="C318" s="7" t="inlineStr">
        <is>
          <t xml:space="preserve">Subtotal – Allstate Insurance</t>
        </is>
      </c>
      <c r="D318" s="6">
        <f>SUM(D316:D317)</f>
        <v>475.42</v>
      </c>
    </row>
    <row r="319">
      <c r="A319" s="4">
        <v>46252</v>
      </c>
      <c r="B319" s="2" t="inlineStr">
        <is>
          <t xml:space="preserve">+Lincoln Nationa EDI Pymnt</t>
        </is>
      </c>
      <c r="C319" s="2" t="inlineStr">
        <is>
          <t xml:space="preserve">Life Insurance (Lincoln National)</t>
        </is>
      </c>
      <c r="D319" s="3">
        <v>73.61</v>
      </c>
    </row>
    <row r="320">
      <c r="A320" s="7"/>
      <c r="B320" s="7"/>
      <c r="C320" s="7" t="inlineStr">
        <is>
          <t xml:space="preserve">Subtotal – Life Insurance (Lincoln National)</t>
        </is>
      </c>
      <c r="D320" s="6">
        <f>SUM(D319:D319)</f>
        <v>73.61</v>
      </c>
    </row>
    <row r="321">
      <c r="A321" s="4">
        <v>46244</v>
      </c>
      <c r="B321" s="2" t="inlineStr">
        <is>
          <t xml:space="preserve">Banner Life Prem Debit 17180884647</t>
        </is>
      </c>
      <c r="C321" s="2" t="inlineStr">
        <is>
          <t xml:space="preserve">Banner Life Insurance</t>
        </is>
      </c>
      <c r="D321" s="3">
        <v>710.06</v>
      </c>
    </row>
    <row r="322">
      <c r="A322" s="7"/>
      <c r="B322" s="7"/>
      <c r="C322" s="7" t="inlineStr">
        <is>
          <t xml:space="preserve">Subtotal – Banner Life Insurance</t>
        </is>
      </c>
      <c r="D322" s="6">
        <f>SUM(D321:D321)</f>
        <v>710.06</v>
      </c>
    </row>
    <row r="323">
      <c r="A323" s="4">
        <v>46232</v>
      </c>
      <c r="B323" s="2" t="inlineStr">
        <is>
          <t xml:space="preserve">Aci*Blue Cross NC</t>
        </is>
      </c>
      <c r="C323" s="2" t="inlineStr">
        <is>
          <t xml:space="preserve">Health Insurance – Blue Cross NC</t>
        </is>
      </c>
      <c r="D323" s="3">
        <v>432.5</v>
      </c>
    </row>
    <row r="324">
      <c r="A324" s="7"/>
      <c r="B324" s="7"/>
      <c r="C324" s="7" t="inlineStr">
        <is>
          <t xml:space="preserve">Subtotal – Health Insurance – Blue Cross NC</t>
        </is>
      </c>
      <c r="D324" s="6">
        <f>SUM(D323:D323)</f>
        <v>432.5</v>
      </c>
    </row>
    <row r="325">
      <c r="A325" s="4">
        <v>46240</v>
      </c>
      <c r="B325" s="2" t="inlineStr">
        <is>
          <t xml:space="preserve">Delta Dental of Delta Dent</t>
        </is>
      </c>
      <c r="C325" s="2" t="inlineStr">
        <is>
          <t xml:space="preserve">Dental Insurance – Delta Dental</t>
        </is>
      </c>
      <c r="D325" s="3">
        <v>69.36</v>
      </c>
    </row>
    <row r="326">
      <c r="A326" s="7"/>
      <c r="B326" s="7"/>
      <c r="C326" s="7" t="inlineStr">
        <is>
          <t xml:space="preserve">Subtotal – Dental Insurance – Delta Dental</t>
        </is>
      </c>
      <c r="D326" s="6">
        <f>SUM(D325:D325)</f>
        <v>69.36</v>
      </c>
    </row>
    <row r="327">
      <c r="A327" s="4">
        <v>46232</v>
      </c>
      <c r="B327" s="2" t="inlineStr">
        <is>
          <t xml:space="preserve">Bemc - Ecc Amanda.Wheele NC</t>
        </is>
      </c>
      <c r="C327" s="2" t="inlineStr">
        <is>
          <t xml:space="preserve">Utility – Electric (BEMC)</t>
        </is>
      </c>
      <c r="D327" s="3">
        <v>406.96</v>
      </c>
    </row>
    <row r="328">
      <c r="A328" s="7"/>
      <c r="B328" s="7"/>
      <c r="C328" s="7" t="inlineStr">
        <is>
          <t xml:space="preserve">Subtotal – Utility – Electric (BEMC)</t>
        </is>
      </c>
      <c r="D328" s="6">
        <f>SUM(D327:D327)</f>
        <v>406.96</v>
      </c>
    </row>
    <row r="329">
      <c r="A329" s="4">
        <v>46233</v>
      </c>
      <c r="B329" s="2" t="inlineStr">
        <is>
          <t xml:space="preserve">Opc*Brunswick CO U</t>
        </is>
      </c>
      <c r="C329" s="2" t="inlineStr">
        <is>
          <t xml:space="preserve">Utility – Water/Sewer (Brunswick County)</t>
        </is>
      </c>
      <c r="D329" s="3">
        <v>91.83</v>
      </c>
    </row>
    <row r="330">
      <c r="A330" s="4">
        <v>46233</v>
      </c>
      <c r="B330" s="2" t="inlineStr">
        <is>
          <t xml:space="preserve">Opc Utl*Service Fe</t>
        </is>
      </c>
      <c r="C330" s="2" t="inlineStr">
        <is>
          <t xml:space="preserve">Utility – Water/Sewer (Brunswick County)</t>
        </is>
      </c>
      <c r="D330" s="3">
        <v>2.95</v>
      </c>
    </row>
    <row r="331">
      <c r="A331" s="4">
        <v>46246</v>
      </c>
      <c r="B331" s="2" t="inlineStr">
        <is>
          <t xml:space="preserve">Opc*Brunswick CO U</t>
        </is>
      </c>
      <c r="C331" s="2" t="inlineStr">
        <is>
          <t xml:space="preserve">Utility – Water/Sewer (Brunswick County)</t>
        </is>
      </c>
      <c r="D331" s="3">
        <v>81.6</v>
      </c>
    </row>
    <row r="332">
      <c r="A332" s="4">
        <v>46246</v>
      </c>
      <c r="B332" s="2" t="inlineStr">
        <is>
          <t xml:space="preserve">Opc Utl*Service Fe</t>
        </is>
      </c>
      <c r="C332" s="2" t="inlineStr">
        <is>
          <t xml:space="preserve">Utility – Water/Sewer (Brunswick County)</t>
        </is>
      </c>
      <c r="D332" s="3">
        <v>2.95</v>
      </c>
    </row>
    <row r="333">
      <c r="A333" s="7"/>
      <c r="B333" s="7"/>
      <c r="C333" s="7" t="inlineStr">
        <is>
          <t xml:space="preserve">Subtotal – Utility – Water/Sewer (Brunswick County)</t>
        </is>
      </c>
      <c r="D333" s="6">
        <f>SUM(D329:D332)</f>
        <v>179.33</v>
      </c>
    </row>
    <row r="334">
      <c r="A334" s="4">
        <v>46232</v>
      </c>
      <c r="B334" s="2" t="inlineStr">
        <is>
          <t xml:space="preserve">Focus Broadband Clover.Com NC</t>
        </is>
      </c>
      <c r="C334" s="2" t="inlineStr">
        <is>
          <t xml:space="preserve">Internet – Focus Broadband</t>
        </is>
      </c>
      <c r="D334" s="3">
        <v>80.79</v>
      </c>
    </row>
    <row r="335">
      <c r="A335" s="4">
        <v>46244</v>
      </c>
      <c r="B335" s="2" t="inlineStr">
        <is>
          <t xml:space="preserve">Focus Broadband Clover.Com NC</t>
        </is>
      </c>
      <c r="C335" s="2" t="inlineStr">
        <is>
          <t xml:space="preserve">Internet – Focus Broadband</t>
        </is>
      </c>
      <c r="D335" s="3">
        <v>80.79</v>
      </c>
    </row>
    <row r="336">
      <c r="A336" s="7"/>
      <c r="B336" s="7"/>
      <c r="C336" s="7" t="inlineStr">
        <is>
          <t xml:space="preserve">Subtotal – Internet – Focus Broadband</t>
        </is>
      </c>
      <c r="D336" s="6">
        <f>SUM(D334:D335)</f>
        <v>161.58</v>
      </c>
    </row>
    <row r="337">
      <c r="A337" s="4">
        <v>46255</v>
      </c>
      <c r="B337" s="2" t="inlineStr">
        <is>
          <t xml:space="preserve">Verizon Wireless Payments</t>
        </is>
      </c>
      <c r="C337" s="2" t="inlineStr">
        <is>
          <t xml:space="preserve">Verizon Wireless</t>
        </is>
      </c>
      <c r="D337" s="3">
        <v>436.02</v>
      </c>
    </row>
    <row r="338">
      <c r="A338" s="7"/>
      <c r="B338" s="7"/>
      <c r="C338" s="7" t="inlineStr">
        <is>
          <t xml:space="preserve">Subtotal – Verizon Wireless</t>
        </is>
      </c>
      <c r="D338" s="6">
        <f>SUM(D337:D337)</f>
        <v>436.02</v>
      </c>
    </row>
    <row r="339">
      <c r="A339" s="4">
        <v>46248</v>
      </c>
      <c r="B339" s="2" t="inlineStr">
        <is>
          <t xml:space="preserve">Dept Education Student Ln 0000</t>
        </is>
      </c>
      <c r="C339" s="2" t="inlineStr">
        <is>
          <t xml:space="preserve">Student Loan (Dept of Education)</t>
        </is>
      </c>
      <c r="D339" s="3">
        <v>160.37</v>
      </c>
    </row>
    <row r="340">
      <c r="A340" s="7"/>
      <c r="B340" s="7"/>
      <c r="C340" s="7" t="inlineStr">
        <is>
          <t xml:space="preserve">Subtotal – Student Loan (Dept of Education)</t>
        </is>
      </c>
      <c r="D340" s="6">
        <f>SUM(D339:D339)</f>
        <v>160.37</v>
      </c>
    </row>
    <row r="341">
      <c r="A341" s="4">
        <v>46238</v>
      </c>
      <c r="B341" s="2" t="inlineStr">
        <is>
          <t xml:space="preserve">Lowe's Foods #1 Oak Island NC</t>
        </is>
      </c>
      <c r="C341" s="2" t="inlineStr">
        <is>
          <t xml:space="preserve">Grocery – Lowes Foods</t>
        </is>
      </c>
      <c r="D341" s="3">
        <v>63.82</v>
      </c>
    </row>
    <row r="342">
      <c r="A342" s="4">
        <v>46240</v>
      </c>
      <c r="B342" s="2" t="inlineStr">
        <is>
          <t xml:space="preserve">Lowes Foods #27 Southport NC</t>
        </is>
      </c>
      <c r="C342" s="2" t="inlineStr">
        <is>
          <t xml:space="preserve">Grocery – Lowes Foods</t>
        </is>
      </c>
      <c r="D342" s="3">
        <v>60.15</v>
      </c>
    </row>
    <row r="343">
      <c r="A343" s="4">
        <v>46251</v>
      </c>
      <c r="B343" s="2" t="inlineStr">
        <is>
          <t xml:space="preserve">Lowes Food #235 Bolivia NC</t>
        </is>
      </c>
      <c r="C343" s="2" t="inlineStr">
        <is>
          <t xml:space="preserve">Grocery – Lowes Foods</t>
        </is>
      </c>
      <c r="D343" s="3">
        <v>6.49</v>
      </c>
    </row>
    <row r="344">
      <c r="A344" s="4">
        <v>46251</v>
      </c>
      <c r="B344" s="2" t="inlineStr">
        <is>
          <t xml:space="preserve">Lowes Food #235 Bolivia NC</t>
        </is>
      </c>
      <c r="C344" s="2" t="inlineStr">
        <is>
          <t xml:space="preserve">Grocery – Lowes Foods</t>
        </is>
      </c>
      <c r="D344" s="3">
        <v>10.99</v>
      </c>
    </row>
    <row r="345">
      <c r="A345" s="4">
        <v>46252</v>
      </c>
      <c r="B345" s="2" t="inlineStr">
        <is>
          <t xml:space="preserve">Lowes Foods #27 Southport NC (purchase incl. $20 cash back)</t>
        </is>
      </c>
      <c r="C345" s="2" t="inlineStr">
        <is>
          <t xml:space="preserve">Grocery – Lowes Foods</t>
        </is>
      </c>
      <c r="D345" s="3">
        <v>275.25</v>
      </c>
    </row>
    <row r="346">
      <c r="A346" s="4">
        <v>46255</v>
      </c>
      <c r="B346" s="2" t="inlineStr">
        <is>
          <t xml:space="preserve">Lowes Food #235 Bolivia NC</t>
        </is>
      </c>
      <c r="C346" s="2" t="inlineStr">
        <is>
          <t xml:space="preserve">Grocery – Lowes Foods</t>
        </is>
      </c>
      <c r="D346" s="3">
        <v>29.54</v>
      </c>
    </row>
    <row r="347">
      <c r="A347" s="4">
        <v>46255</v>
      </c>
      <c r="B347" s="2" t="inlineStr">
        <is>
          <t xml:space="preserve">Lowes Food #235 Bolivia NC</t>
        </is>
      </c>
      <c r="C347" s="2" t="inlineStr">
        <is>
          <t xml:space="preserve">Grocery – Lowes Foods</t>
        </is>
      </c>
      <c r="D347" s="3">
        <v>36.77</v>
      </c>
    </row>
    <row r="348">
      <c r="A348" s="4">
        <v>46258</v>
      </c>
      <c r="B348" s="2" t="inlineStr">
        <is>
          <t xml:space="preserve">Lowes Foods #27 Southport NC</t>
        </is>
      </c>
      <c r="C348" s="2" t="inlineStr">
        <is>
          <t xml:space="preserve">Grocery – Lowes Foods</t>
        </is>
      </c>
      <c r="D348" s="3">
        <v>101.24</v>
      </c>
    </row>
    <row r="349">
      <c r="A349" s="7"/>
      <c r="B349" s="7"/>
      <c r="C349" s="7" t="inlineStr">
        <is>
          <t xml:space="preserve">Subtotal – Grocery – Lowes Foods</t>
        </is>
      </c>
      <c r="D349" s="6">
        <f>SUM(D341:D348)</f>
        <v>584.25</v>
      </c>
    </row>
    <row r="350">
      <c r="A350" s="4">
        <v>46230</v>
      </c>
      <c r="B350" s="2" t="inlineStr">
        <is>
          <t xml:space="preserve">Publix #1631 Ocean Isle Be NC</t>
        </is>
      </c>
      <c r="C350" s="2" t="inlineStr">
        <is>
          <t xml:space="preserve">Grocery – Publix</t>
        </is>
      </c>
      <c r="D350" s="3">
        <v>85.7</v>
      </c>
    </row>
    <row r="351">
      <c r="A351" s="4">
        <v>46237</v>
      </c>
      <c r="B351" s="2" t="inlineStr">
        <is>
          <t xml:space="preserve">Publix #1703 Oak Island NC</t>
        </is>
      </c>
      <c r="C351" s="2" t="inlineStr">
        <is>
          <t xml:space="preserve">Grocery – Publix</t>
        </is>
      </c>
      <c r="D351" s="3">
        <v>239.44</v>
      </c>
    </row>
    <row r="352">
      <c r="A352" s="4">
        <v>46239</v>
      </c>
      <c r="B352" s="2" t="inlineStr">
        <is>
          <t xml:space="preserve">Publix #1703 Oak Island NC</t>
        </is>
      </c>
      <c r="C352" s="2" t="inlineStr">
        <is>
          <t xml:space="preserve">Grocery – Publix</t>
        </is>
      </c>
      <c r="D352" s="3">
        <v>15.39</v>
      </c>
    </row>
    <row r="353">
      <c r="A353" s="4">
        <v>46245</v>
      </c>
      <c r="B353" s="2" t="inlineStr">
        <is>
          <t xml:space="preserve">Publix #1703 Oak Island NC</t>
        </is>
      </c>
      <c r="C353" s="2" t="inlineStr">
        <is>
          <t xml:space="preserve">Grocery – Publix</t>
        </is>
      </c>
      <c r="D353" s="3">
        <v>182.15</v>
      </c>
    </row>
    <row r="354">
      <c r="A354" s="7"/>
      <c r="B354" s="7"/>
      <c r="C354" s="7" t="inlineStr">
        <is>
          <t xml:space="preserve">Subtotal – Grocery – Publix</t>
        </is>
      </c>
      <c r="D354" s="6">
        <f>SUM(D350:D353)</f>
        <v>522.68</v>
      </c>
    </row>
    <row r="355">
      <c r="A355" s="4">
        <v>46238</v>
      </c>
      <c r="B355" s="2" t="inlineStr">
        <is>
          <t xml:space="preserve">Food Lion #2223 4891 L</t>
        </is>
      </c>
      <c r="C355" s="2" t="inlineStr">
        <is>
          <t xml:space="preserve">Grocery – Food Lion</t>
        </is>
      </c>
      <c r="D355" s="3">
        <v>77.34</v>
      </c>
    </row>
    <row r="356">
      <c r="A356" s="7"/>
      <c r="B356" s="7"/>
      <c r="C356" s="7" t="inlineStr">
        <is>
          <t xml:space="preserve">Subtotal – Grocery – Food Lion</t>
        </is>
      </c>
      <c r="D356" s="6">
        <f>SUM(D355:D355)</f>
        <v>77.34</v>
      </c>
    </row>
    <row r="357">
      <c r="A357" s="4">
        <v>46232</v>
      </c>
      <c r="B357" s="2" t="inlineStr">
        <is>
          <t xml:space="preserve">Beach Pantry Oak Island NC</t>
        </is>
      </c>
      <c r="C357" s="2" t="inlineStr">
        <is>
          <t xml:space="preserve">Other Food Stores (Harris Teeter, Beach Pantry)</t>
        </is>
      </c>
      <c r="D357" s="3">
        <v>5.85</v>
      </c>
    </row>
    <row r="358">
      <c r="A358" s="7"/>
      <c r="B358" s="7"/>
      <c r="C358" s="7" t="inlineStr">
        <is>
          <t xml:space="preserve">Subtotal – Other Food Stores (Harris Teeter, Beach Pantry)</t>
        </is>
      </c>
      <c r="D358" s="6">
        <f>SUM(D357:D357)</f>
        <v>5.85</v>
      </c>
    </row>
    <row r="359">
      <c r="A359" s="4">
        <v>46227</v>
      </c>
      <c r="B359" s="2" t="inlineStr">
        <is>
          <t xml:space="preserve">LA Cucina Italiano Sunset Beach</t>
        </is>
      </c>
      <c r="C359" s="2" t="inlineStr">
        <is>
          <t xml:space="preserve">Restaurants &amp; Takeout</t>
        </is>
      </c>
      <c r="D359" s="3">
        <v>54.0</v>
      </c>
    </row>
    <row r="360">
      <c r="A360" s="4">
        <v>46230</v>
      </c>
      <c r="B360" s="2" t="inlineStr">
        <is>
          <t xml:space="preserve">Blondiez Donuts Calabash NC</t>
        </is>
      </c>
      <c r="C360" s="2" t="inlineStr">
        <is>
          <t xml:space="preserve">Restaurants &amp; Takeout</t>
        </is>
      </c>
      <c r="D360" s="3">
        <v>44.55</v>
      </c>
    </row>
    <row r="361">
      <c r="A361" s="4">
        <v>46230</v>
      </c>
      <c r="B361" s="2" t="inlineStr">
        <is>
          <t xml:space="preserve">LA Cucina Italiano Sunset Beach</t>
        </is>
      </c>
      <c r="C361" s="2" t="inlineStr">
        <is>
          <t xml:space="preserve">Restaurants &amp; Takeout</t>
        </is>
      </c>
      <c r="D361" s="3">
        <v>28.23</v>
      </c>
    </row>
    <row r="362">
      <c r="A362" s="4">
        <v>46230</v>
      </c>
      <c r="B362" s="2" t="inlineStr">
        <is>
          <t xml:space="preserve">McDonald's F35966 Supply NC</t>
        </is>
      </c>
      <c r="C362" s="2" t="inlineStr">
        <is>
          <t xml:space="preserve">Restaurants &amp; Takeout</t>
        </is>
      </c>
      <c r="D362" s="3">
        <v>9.6</v>
      </c>
    </row>
    <row r="363">
      <c r="A363" s="4">
        <v>46232</v>
      </c>
      <c r="B363" s="2" t="inlineStr">
        <is>
          <t xml:space="preserve">Thai &amp; Vine Oak Island NC</t>
        </is>
      </c>
      <c r="C363" s="2" t="inlineStr">
        <is>
          <t xml:space="preserve">Restaurants &amp; Takeout</t>
        </is>
      </c>
      <c r="D363" s="3">
        <v>49.73</v>
      </c>
    </row>
    <row r="364">
      <c r="A364" s="4">
        <v>46233</v>
      </c>
      <c r="B364" s="2" t="inlineStr">
        <is>
          <t xml:space="preserve">Bagel Dock Express Clover.Com</t>
        </is>
      </c>
      <c r="C364" s="2" t="inlineStr">
        <is>
          <t xml:space="preserve">Restaurants &amp; Takeout</t>
        </is>
      </c>
      <c r="D364" s="3">
        <v>28.06</v>
      </c>
    </row>
    <row r="365">
      <c r="A365" s="4">
        <v>46233</v>
      </c>
      <c r="B365" s="2" t="inlineStr">
        <is>
          <t xml:space="preserve">Piada-59 919-3710787 NC</t>
        </is>
      </c>
      <c r="C365" s="2" t="inlineStr">
        <is>
          <t xml:space="preserve">Restaurants &amp; Takeout</t>
        </is>
      </c>
      <c r="D365" s="3">
        <v>38.1</v>
      </c>
    </row>
    <row r="366">
      <c r="A366" s="4">
        <v>46234</v>
      </c>
      <c r="B366" s="2" t="inlineStr">
        <is>
          <t xml:space="preserve">Tst*NEW Raleigh Ti Raleigh NC</t>
        </is>
      </c>
      <c r="C366" s="2" t="inlineStr">
        <is>
          <t xml:space="preserve">Restaurants &amp; Takeout</t>
        </is>
      </c>
      <c r="D366" s="3">
        <v>64.59</v>
      </c>
    </row>
    <row r="367">
      <c r="A367" s="4">
        <v>46237</v>
      </c>
      <c r="B367" s="2" t="inlineStr">
        <is>
          <t xml:space="preserve">Wendys 1359 Creedmoor NC</t>
        </is>
      </c>
      <c r="C367" s="2" t="inlineStr">
        <is>
          <t xml:space="preserve">Restaurants &amp; Takeout</t>
        </is>
      </c>
      <c r="D367" s="3">
        <v>16.52</v>
      </c>
    </row>
    <row r="368">
      <c r="A368" s="4">
        <v>46237</v>
      </c>
      <c r="B368" s="2" t="inlineStr">
        <is>
          <t xml:space="preserve">Wendys 333 Garner NC</t>
        </is>
      </c>
      <c r="C368" s="2" t="inlineStr">
        <is>
          <t xml:space="preserve">Restaurants &amp; Takeout</t>
        </is>
      </c>
      <c r="D368" s="3">
        <v>14.48</v>
      </c>
    </row>
    <row r="369">
      <c r="A369" s="4">
        <v>46237</v>
      </c>
      <c r="B369" s="2" t="inlineStr">
        <is>
          <t xml:space="preserve">Burney's Bakery of Southport NC</t>
        </is>
      </c>
      <c r="C369" s="2" t="inlineStr">
        <is>
          <t xml:space="preserve">Restaurants &amp; Takeout</t>
        </is>
      </c>
      <c r="D369" s="3">
        <v>9.27</v>
      </c>
    </row>
    <row r="370">
      <c r="A370" s="4">
        <v>46237</v>
      </c>
      <c r="B370" s="2" t="inlineStr">
        <is>
          <t xml:space="preserve">DD *Doordash Sanfe</t>
        </is>
      </c>
      <c r="C370" s="2" t="inlineStr">
        <is>
          <t xml:space="preserve">Restaurants &amp; Takeout</t>
        </is>
      </c>
      <c r="D370" s="3">
        <v>55.64</v>
      </c>
    </row>
    <row r="371">
      <c r="A371" s="4">
        <v>46238</v>
      </c>
      <c r="B371" s="2" t="inlineStr">
        <is>
          <t xml:space="preserve">DD/Br #338554 Q35 Little River</t>
        </is>
      </c>
      <c r="C371" s="2" t="inlineStr">
        <is>
          <t xml:space="preserve">Restaurants &amp; Takeout</t>
        </is>
      </c>
      <c r="D371" s="3">
        <v>10.91</v>
      </c>
    </row>
    <row r="372">
      <c r="A372" s="4">
        <v>46239</v>
      </c>
      <c r="B372" s="2" t="inlineStr">
        <is>
          <t xml:space="preserve">Del Taco 1615 Myrtle Beach SC</t>
        </is>
      </c>
      <c r="C372" s="2" t="inlineStr">
        <is>
          <t xml:space="preserve">Restaurants &amp; Takeout</t>
        </is>
      </c>
      <c r="D372" s="3">
        <v>18.1</v>
      </c>
    </row>
    <row r="373">
      <c r="A373" s="4">
        <v>46244</v>
      </c>
      <c r="B373" s="2" t="inlineStr">
        <is>
          <t xml:space="preserve">McDonald's F7702 Southport NC</t>
        </is>
      </c>
      <c r="C373" s="2" t="inlineStr">
        <is>
          <t xml:space="preserve">Restaurants &amp; Takeout</t>
        </is>
      </c>
      <c r="D373" s="3">
        <v>7.76</v>
      </c>
    </row>
    <row r="374">
      <c r="A374" s="4">
        <v>46244</v>
      </c>
      <c r="B374" s="2" t="inlineStr">
        <is>
          <t xml:space="preserve">San Felipe Mexican</t>
        </is>
      </c>
      <c r="C374" s="2" t="inlineStr">
        <is>
          <t xml:space="preserve">Restaurants &amp; Takeout</t>
        </is>
      </c>
      <c r="D374" s="3">
        <v>53.26</v>
      </c>
    </row>
    <row r="375">
      <c r="A375" s="4">
        <v>46247</v>
      </c>
      <c r="B375" s="2" t="inlineStr">
        <is>
          <t xml:space="preserve">Jersey Mikes 3265 Oak Island NC</t>
        </is>
      </c>
      <c r="C375" s="2" t="inlineStr">
        <is>
          <t xml:space="preserve">Restaurants &amp; Takeout</t>
        </is>
      </c>
      <c r="D375" s="3">
        <v>17.73</v>
      </c>
    </row>
    <row r="376">
      <c r="A376" s="4">
        <v>46251</v>
      </c>
      <c r="B376" s="2" t="inlineStr">
        <is>
          <t xml:space="preserve">Par*Drift Coffee &amp; Wilmington</t>
        </is>
      </c>
      <c r="C376" s="2" t="inlineStr">
        <is>
          <t xml:space="preserve">Restaurants &amp; Takeout</t>
        </is>
      </c>
      <c r="D376" s="3">
        <v>43.52</v>
      </c>
    </row>
    <row r="377">
      <c r="A377" s="4">
        <v>46251</v>
      </c>
      <c r="B377" s="2" t="inlineStr">
        <is>
          <t xml:space="preserve">Thai &amp; Vine Oak Island NC</t>
        </is>
      </c>
      <c r="C377" s="2" t="inlineStr">
        <is>
          <t xml:space="preserve">Restaurants &amp; Takeout</t>
        </is>
      </c>
      <c r="D377" s="3">
        <v>64.68</v>
      </c>
    </row>
    <row r="378">
      <c r="A378" s="4">
        <v>46251</v>
      </c>
      <c r="B378" s="2" t="inlineStr">
        <is>
          <t xml:space="preserve">Lil &amp; Johnssweetre Oak Island</t>
        </is>
      </c>
      <c r="C378" s="2" t="inlineStr">
        <is>
          <t xml:space="preserve">Restaurants &amp; Takeout</t>
        </is>
      </c>
      <c r="D378" s="3">
        <v>28.85</v>
      </c>
    </row>
    <row r="379">
      <c r="A379" s="4">
        <v>46252</v>
      </c>
      <c r="B379" s="2" t="inlineStr">
        <is>
          <t xml:space="preserve">Tst* The Melting P Wilmington</t>
        </is>
      </c>
      <c r="C379" s="2" t="inlineStr">
        <is>
          <t xml:space="preserve">Restaurants &amp; Takeout</t>
        </is>
      </c>
      <c r="D379" s="3">
        <v>204.48</v>
      </c>
    </row>
    <row r="380">
      <c r="A380" s="4">
        <v>46252</v>
      </c>
      <c r="B380" s="2" t="inlineStr">
        <is>
          <t xml:space="preserve">DD/Br #338554 Q35 Little River</t>
        </is>
      </c>
      <c r="C380" s="2" t="inlineStr">
        <is>
          <t xml:space="preserve">Restaurants &amp; Takeout</t>
        </is>
      </c>
      <c r="D380" s="3">
        <v>9.25</v>
      </c>
    </row>
    <row r="381">
      <c r="A381" s="4">
        <v>46255</v>
      </c>
      <c r="B381" s="2" t="inlineStr">
        <is>
          <t xml:space="preserve">Starbucks Store 71 Southport</t>
        </is>
      </c>
      <c r="C381" s="2" t="inlineStr">
        <is>
          <t xml:space="preserve">Restaurants &amp; Takeout</t>
        </is>
      </c>
      <c r="D381" s="3">
        <v>5.0</v>
      </c>
    </row>
    <row r="382">
      <c r="A382" s="4">
        <v>46255</v>
      </c>
      <c r="B382" s="2" t="inlineStr">
        <is>
          <t xml:space="preserve">Tst*Koko Cabana - Oak Island NC</t>
        </is>
      </c>
      <c r="C382" s="2" t="inlineStr">
        <is>
          <t xml:space="preserve">Restaurants &amp; Takeout</t>
        </is>
      </c>
      <c r="D382" s="3">
        <v>64.37</v>
      </c>
    </row>
    <row r="383">
      <c r="A383" s="4">
        <v>46258</v>
      </c>
      <c r="B383" s="2" t="inlineStr">
        <is>
          <t xml:space="preserve">First Watch - 6045 Wilmington</t>
        </is>
      </c>
      <c r="C383" s="2" t="inlineStr">
        <is>
          <t xml:space="preserve">Restaurants &amp; Takeout</t>
        </is>
      </c>
      <c r="D383" s="3">
        <v>21.94</v>
      </c>
    </row>
    <row r="384">
      <c r="A384" s="7"/>
      <c r="B384" s="7"/>
      <c r="C384" s="7" t="inlineStr">
        <is>
          <t xml:space="preserve">Subtotal – Restaurants &amp; Takeout</t>
        </is>
      </c>
      <c r="D384" s="6">
        <f>SUM(D359:D383)</f>
        <v>962.62</v>
      </c>
    </row>
    <row r="385">
      <c r="A385" s="4">
        <v>46232</v>
      </c>
      <c r="B385" s="2" t="inlineStr">
        <is>
          <t xml:space="preserve">Circlek #2720915 5717 Castle</t>
        </is>
      </c>
      <c r="C385" s="2" t="inlineStr">
        <is>
          <t xml:space="preserve">Gas &amp; Convenience Stores</t>
        </is>
      </c>
      <c r="D385" s="3">
        <v>4.06</v>
      </c>
    </row>
    <row r="386">
      <c r="A386" s="4">
        <v>46232</v>
      </c>
      <c r="B386" s="2" t="inlineStr">
        <is>
          <t xml:space="preserve">Bp#2850600Summi Benson NC</t>
        </is>
      </c>
      <c r="C386" s="2" t="inlineStr">
        <is>
          <t xml:space="preserve">Gas &amp; Convenience Stores</t>
        </is>
      </c>
      <c r="D386" s="3">
        <v>47.8</v>
      </c>
    </row>
    <row r="387">
      <c r="A387" s="4">
        <v>46233</v>
      </c>
      <c r="B387" s="2" t="inlineStr">
        <is>
          <t xml:space="preserve">Speedway 44655 Garner NC</t>
        </is>
      </c>
      <c r="C387" s="2" t="inlineStr">
        <is>
          <t xml:space="preserve">Gas &amp; Convenience Stores</t>
        </is>
      </c>
      <c r="D387" s="3">
        <v>6.78</v>
      </c>
    </row>
    <row r="388">
      <c r="A388" s="4">
        <v>46237</v>
      </c>
      <c r="B388" s="2" t="inlineStr">
        <is>
          <t xml:space="preserve">7-Eleven Myrtle Beach SC</t>
        </is>
      </c>
      <c r="C388" s="2" t="inlineStr">
        <is>
          <t xml:space="preserve">Gas &amp; Convenience Stores</t>
        </is>
      </c>
      <c r="D388" s="3">
        <v>9.47</v>
      </c>
    </row>
    <row r="389">
      <c r="A389" s="4">
        <v>46237</v>
      </c>
      <c r="B389" s="2" t="inlineStr">
        <is>
          <t xml:space="preserve">Circlek #2723140 3498 Little</t>
        </is>
      </c>
      <c r="C389" s="2" t="inlineStr">
        <is>
          <t xml:space="preserve">Gas &amp; Convenience Stores</t>
        </is>
      </c>
      <c r="D389" s="3">
        <v>46.23</v>
      </c>
    </row>
    <row r="390">
      <c r="A390" s="4">
        <v>46251</v>
      </c>
      <c r="B390" s="2" t="inlineStr">
        <is>
          <t xml:space="preserve">Circlek #2723487 16 Oc Supply</t>
        </is>
      </c>
      <c r="C390" s="2" t="inlineStr">
        <is>
          <t xml:space="preserve">Gas &amp; Convenience Stores</t>
        </is>
      </c>
      <c r="D390" s="3">
        <v>47.12</v>
      </c>
    </row>
    <row r="391">
      <c r="A391" s="4">
        <v>46251</v>
      </c>
      <c r="B391" s="2" t="inlineStr">
        <is>
          <t xml:space="preserve">Circlek #2723140 3498 Little</t>
        </is>
      </c>
      <c r="C391" s="2" t="inlineStr">
        <is>
          <t xml:space="preserve">Gas &amp; Convenience Stores</t>
        </is>
      </c>
      <c r="D391" s="3">
        <v>5.78</v>
      </c>
    </row>
    <row r="392">
      <c r="A392" s="7"/>
      <c r="B392" s="7"/>
      <c r="C392" s="7" t="inlineStr">
        <is>
          <t xml:space="preserve">Subtotal – Gas &amp; Convenience Stores</t>
        </is>
      </c>
      <c r="D392" s="6">
        <f>SUM(D385:D391)</f>
        <v>167.24</v>
      </c>
    </row>
    <row r="393">
      <c r="A393" s="4">
        <v>46232</v>
      </c>
      <c r="B393" s="2" t="inlineStr">
        <is>
          <t xml:space="preserve">NC Quick Pass 877-769-7277 NC</t>
        </is>
      </c>
      <c r="C393" s="2" t="inlineStr">
        <is>
          <t xml:space="preserve">Tolls &amp; Parking</t>
        </is>
      </c>
      <c r="D393" s="3">
        <v>11.84</v>
      </c>
    </row>
    <row r="394">
      <c r="A394" s="4">
        <v>46234</v>
      </c>
      <c r="B394" s="2" t="inlineStr">
        <is>
          <t xml:space="preserve">Raleigh Parking MO</t>
        </is>
      </c>
      <c r="C394" s="2" t="inlineStr">
        <is>
          <t xml:space="preserve">Tolls &amp; Parking</t>
        </is>
      </c>
      <c r="D394" s="3">
        <v>1.6</v>
      </c>
    </row>
    <row r="395">
      <c r="A395" s="4">
        <v>46234</v>
      </c>
      <c r="B395" s="2" t="inlineStr">
        <is>
          <t xml:space="preserve">Raleigh Durham Emb Cary NC</t>
        </is>
      </c>
      <c r="C395" s="2" t="inlineStr">
        <is>
          <t xml:space="preserve">Tolls &amp; Parking</t>
        </is>
      </c>
      <c r="D395" s="3">
        <v>5.0</v>
      </c>
    </row>
    <row r="396">
      <c r="A396" s="7"/>
      <c r="B396" s="7"/>
      <c r="C396" s="7" t="inlineStr">
        <is>
          <t xml:space="preserve">Subtotal – Tolls &amp; Parking</t>
        </is>
      </c>
      <c r="D396" s="6">
        <f>SUM(D393:D395)</f>
        <v>18.44</v>
      </c>
    </row>
    <row r="397">
      <c r="A397" s="4">
        <v>46232</v>
      </c>
      <c r="B397" s="2" t="inlineStr">
        <is>
          <t xml:space="preserve">Google Youtube Tv</t>
        </is>
      </c>
      <c r="C397" s="2" t="inlineStr">
        <is>
          <t xml:space="preserve">Streaming – YouTube TV (Google)</t>
        </is>
      </c>
      <c r="D397" s="3">
        <v>89.0</v>
      </c>
    </row>
    <row r="398">
      <c r="A398" s="7"/>
      <c r="B398" s="7"/>
      <c r="C398" s="7" t="inlineStr">
        <is>
          <t xml:space="preserve">Subtotal – Streaming – YouTube TV (Google)</t>
        </is>
      </c>
      <c r="D398" s="6">
        <f>SUM(D397:D397)</f>
        <v>89.0</v>
      </c>
    </row>
    <row r="399">
      <c r="A399" s="4">
        <v>46247</v>
      </c>
      <c r="B399" s="2" t="inlineStr">
        <is>
          <t xml:space="preserve">Espn 800-7271800 NY</t>
        </is>
      </c>
      <c r="C399" s="2" t="inlineStr">
        <is>
          <t xml:space="preserve">Streaming – ESPN (Sept billed as Disney Plus)</t>
        </is>
      </c>
      <c r="D399" s="3">
        <v>13.87</v>
      </c>
    </row>
    <row r="400">
      <c r="A400" s="7"/>
      <c r="B400" s="7"/>
      <c r="C400" s="7" t="inlineStr">
        <is>
          <t xml:space="preserve">Subtotal – Streaming – ESPN (Sept billed as Disney Plus)</t>
        </is>
      </c>
      <c r="D400" s="6">
        <f>SUM(D399:D399)</f>
        <v>13.87</v>
      </c>
    </row>
    <row r="401">
      <c r="A401" s="4">
        <v>46232</v>
      </c>
      <c r="B401" s="2" t="inlineStr">
        <is>
          <t xml:space="preserve">Roku for Disney El</t>
        </is>
      </c>
      <c r="C401" s="2" t="inlineStr">
        <is>
          <t xml:space="preserve">Streaming – Disney (via Roku)</t>
        </is>
      </c>
      <c r="D401" s="3">
        <v>20.27</v>
      </c>
    </row>
    <row r="402">
      <c r="A402" s="7"/>
      <c r="B402" s="7"/>
      <c r="C402" s="7" t="inlineStr">
        <is>
          <t xml:space="preserve">Subtotal – Streaming – Disney (via Roku)</t>
        </is>
      </c>
      <c r="D402" s="6">
        <f>SUM(D401:D401)</f>
        <v>20.27</v>
      </c>
    </row>
    <row r="403">
      <c r="A403" s="4">
        <v>46230</v>
      </c>
      <c r="B403" s="2" t="inlineStr">
        <is>
          <t xml:space="preserve">Hulu Santa Monica CA</t>
        </is>
      </c>
      <c r="C403" s="2" t="inlineStr">
        <is>
          <t xml:space="preserve">Streaming – Hulu</t>
        </is>
      </c>
      <c r="D403" s="3">
        <v>12.8</v>
      </c>
    </row>
    <row r="404">
      <c r="A404" s="7"/>
      <c r="B404" s="7"/>
      <c r="C404" s="7" t="inlineStr">
        <is>
          <t xml:space="preserve">Subtotal – Streaming – Hulu</t>
        </is>
      </c>
      <c r="D404" s="6">
        <f>SUM(D403:D403)</f>
        <v>12.8</v>
      </c>
    </row>
    <row r="405">
      <c r="A405" s="4">
        <v>46239</v>
      </c>
      <c r="B405" s="2" t="inlineStr">
        <is>
          <t xml:space="preserve">Frndlytv Inc*+ 1Ad</t>
        </is>
      </c>
      <c r="C405" s="2" t="inlineStr">
        <is>
          <t xml:space="preserve">Streaming – Frndly TV</t>
        </is>
      </c>
      <c r="D405" s="3">
        <v>22.41</v>
      </c>
    </row>
    <row r="406">
      <c r="A406" s="7"/>
      <c r="B406" s="7"/>
      <c r="C406" s="7" t="inlineStr">
        <is>
          <t xml:space="preserve">Subtotal – Streaming – Frndly TV</t>
        </is>
      </c>
      <c r="D406" s="6">
        <f>SUM(D405:D405)</f>
        <v>22.41</v>
      </c>
    </row>
    <row r="407">
      <c r="A407" s="4">
        <v>46230</v>
      </c>
      <c r="B407" s="2" t="inlineStr">
        <is>
          <t xml:space="preserve">Apple.Com/Bill</t>
        </is>
      </c>
      <c r="C407" s="2" t="inlineStr">
        <is>
          <t xml:space="preserve">Software &amp; Online Subscriptions</t>
        </is>
      </c>
      <c r="D407" s="3">
        <v>2.99</v>
      </c>
    </row>
    <row r="408">
      <c r="A408" s="4">
        <v>46230</v>
      </c>
      <c r="B408" s="2" t="inlineStr">
        <is>
          <t xml:space="preserve">Propertyrecs.Com</t>
        </is>
      </c>
      <c r="C408" s="2" t="inlineStr">
        <is>
          <t xml:space="preserve">Software &amp; Online Subscriptions</t>
        </is>
      </c>
      <c r="D408" s="3">
        <v>20.0</v>
      </c>
    </row>
    <row r="409">
      <c r="A409" s="4">
        <v>46230</v>
      </c>
      <c r="B409" s="2" t="inlineStr">
        <is>
          <t xml:space="preserve">Openai *Chatgpt Su</t>
        </is>
      </c>
      <c r="C409" s="2" t="inlineStr">
        <is>
          <t xml:space="preserve">Software &amp; Online Subscriptions</t>
        </is>
      </c>
      <c r="D409" s="3">
        <v>20.0</v>
      </c>
    </row>
    <row r="410">
      <c r="A410" s="4">
        <v>46245</v>
      </c>
      <c r="B410" s="2" t="inlineStr">
        <is>
          <t xml:space="preserve">Propertyrecs.Com</t>
        </is>
      </c>
      <c r="C410" s="2" t="inlineStr">
        <is>
          <t xml:space="preserve">Software &amp; Online Subscriptions</t>
        </is>
      </c>
      <c r="D410" s="3">
        <v>20.0</v>
      </c>
    </row>
    <row r="411">
      <c r="A411" s="4">
        <v>46259</v>
      </c>
      <c r="B411" s="2" t="inlineStr">
        <is>
          <t xml:space="preserve">Apple.Com/Bill</t>
        </is>
      </c>
      <c r="C411" s="2" t="inlineStr">
        <is>
          <t xml:space="preserve">Software &amp; Online Subscriptions</t>
        </is>
      </c>
      <c r="D411" s="3">
        <v>2.99</v>
      </c>
    </row>
    <row r="412">
      <c r="A412" s="7"/>
      <c r="B412" s="7"/>
      <c r="C412" s="7" t="inlineStr">
        <is>
          <t xml:space="preserve">Subtotal – Software &amp; Online Subscriptions</t>
        </is>
      </c>
      <c r="D412" s="6">
        <f>SUM(D407:D411)</f>
        <v>65.98</v>
      </c>
    </row>
    <row r="413">
      <c r="A413" s="4">
        <v>46234</v>
      </c>
      <c r="B413" s="2" t="inlineStr">
        <is>
          <t xml:space="preserve">Cvs/Pharmacy #0738 South Port</t>
        </is>
      </c>
      <c r="C413" s="2" t="inlineStr">
        <is>
          <t xml:space="preserve">CVS Pharmacy</t>
        </is>
      </c>
      <c r="D413" s="3">
        <v>202.55</v>
      </c>
    </row>
    <row r="414">
      <c r="A414" s="4">
        <v>46240</v>
      </c>
      <c r="B414" s="2" t="inlineStr">
        <is>
          <t xml:space="preserve">Cvs/Pharmacy #0738 South Port</t>
        </is>
      </c>
      <c r="C414" s="2" t="inlineStr">
        <is>
          <t xml:space="preserve">CVS Pharmacy</t>
        </is>
      </c>
      <c r="D414" s="3">
        <v>149.55</v>
      </c>
    </row>
    <row r="415">
      <c r="A415" s="4">
        <v>46253</v>
      </c>
      <c r="B415" s="2" t="inlineStr">
        <is>
          <t xml:space="preserve">Cvs/Pharmacy #07382</t>
        </is>
      </c>
      <c r="C415" s="2" t="inlineStr">
        <is>
          <t xml:space="preserve">CVS Pharmacy</t>
        </is>
      </c>
      <c r="D415" s="3">
        <v>31.14</v>
      </c>
    </row>
    <row r="416">
      <c r="A416" s="7"/>
      <c r="B416" s="7"/>
      <c r="C416" s="7" t="inlineStr">
        <is>
          <t xml:space="preserve">Subtotal – CVS Pharmacy</t>
        </is>
      </c>
      <c r="D416" s="6">
        <f>SUM(D413:D415)</f>
        <v>383.24</v>
      </c>
    </row>
    <row r="417">
      <c r="A417" s="4">
        <v>46232</v>
      </c>
      <c r="B417" s="2" t="inlineStr">
        <is>
          <t xml:space="preserve">Pt *Dosher Hospita</t>
        </is>
      </c>
      <c r="C417" s="2" t="inlineStr">
        <is>
          <t xml:space="preserve">Medical – Dosher Hospital (Southport)</t>
        </is>
      </c>
      <c r="D417" s="3">
        <v>342.66</v>
      </c>
    </row>
    <row r="418">
      <c r="A418" s="4">
        <v>46248</v>
      </c>
      <c r="B418" s="2" t="inlineStr">
        <is>
          <t xml:space="preserve">Pt *Dosher Hospita Southport</t>
        </is>
      </c>
      <c r="C418" s="2" t="inlineStr">
        <is>
          <t xml:space="preserve">Medical – Dosher Hospital (Southport)</t>
        </is>
      </c>
      <c r="D418" s="3">
        <v>125.0</v>
      </c>
    </row>
    <row r="419">
      <c r="A419" s="7"/>
      <c r="B419" s="7"/>
      <c r="C419" s="7" t="inlineStr">
        <is>
          <t xml:space="preserve">Subtotal – Medical – Dosher Hospital (Southport)</t>
        </is>
      </c>
      <c r="D419" s="6">
        <f>SUM(D417:D418)</f>
        <v>467.66</v>
      </c>
    </row>
    <row r="420">
      <c r="A420" s="4">
        <v>46231</v>
      </c>
      <c r="B420" s="2" t="inlineStr">
        <is>
          <t xml:space="preserve">The Color Bar Hair Oak Island NC</t>
        </is>
      </c>
      <c r="C420" s="2" t="inlineStr">
        <is>
          <t xml:space="preserve">Haircuts – The Color Bar</t>
        </is>
      </c>
      <c r="D420" s="3">
        <v>32.5</v>
      </c>
    </row>
    <row r="421">
      <c r="A421" s="4">
        <v>46254</v>
      </c>
      <c r="B421" s="2" t="inlineStr">
        <is>
          <t xml:space="preserve">The Color Bar Hair Oak Island NC</t>
        </is>
      </c>
      <c r="C421" s="2" t="inlineStr">
        <is>
          <t xml:space="preserve">Haircuts – The Color Bar</t>
        </is>
      </c>
      <c r="D421" s="3">
        <v>150.0</v>
      </c>
    </row>
    <row r="422">
      <c r="A422" s="7"/>
      <c r="B422" s="7"/>
      <c r="C422" s="7" t="inlineStr">
        <is>
          <t xml:space="preserve">Subtotal – Haircuts – The Color Bar</t>
        </is>
      </c>
      <c r="D422" s="6">
        <f>SUM(D420:D421)</f>
        <v>182.5</v>
      </c>
    </row>
    <row r="423">
      <c r="A423" s="4">
        <v>46234</v>
      </c>
      <c r="B423" s="2" t="inlineStr">
        <is>
          <t xml:space="preserve">Wal-Mart #2772 Southport NC</t>
        </is>
      </c>
      <c r="C423" s="2" t="inlineStr">
        <is>
          <t xml:space="preserve">Retail – Walmart</t>
        </is>
      </c>
      <c r="D423" s="3">
        <v>1461.9</v>
      </c>
    </row>
    <row r="424">
      <c r="A424" s="4">
        <v>46244</v>
      </c>
      <c r="B424" s="2" t="inlineStr">
        <is>
          <t xml:space="preserve">WM Supercenter #2772</t>
        </is>
      </c>
      <c r="C424" s="2" t="inlineStr">
        <is>
          <t xml:space="preserve">Retail – Walmart</t>
        </is>
      </c>
      <c r="D424" s="3">
        <v>145.54</v>
      </c>
    </row>
    <row r="425">
      <c r="A425" s="4">
        <v>46254</v>
      </c>
      <c r="B425" s="2" t="inlineStr">
        <is>
          <t xml:space="preserve">WM Supercenter #2772</t>
        </is>
      </c>
      <c r="C425" s="2" t="inlineStr">
        <is>
          <t xml:space="preserve">Retail – Walmart</t>
        </is>
      </c>
      <c r="D425" s="3">
        <v>125.16</v>
      </c>
    </row>
    <row r="426">
      <c r="A426" s="7"/>
      <c r="B426" s="7"/>
      <c r="C426" s="7" t="inlineStr">
        <is>
          <t xml:space="preserve">Subtotal – Retail – Walmart</t>
        </is>
      </c>
      <c r="D426" s="6">
        <f>SUM(D423:D425)</f>
        <v>1732.6</v>
      </c>
    </row>
    <row r="427">
      <c r="A427" s="4">
        <v>46248</v>
      </c>
      <c r="B427" s="2" t="inlineStr">
        <is>
          <t xml:space="preserve">Dillards 156 Westfield</t>
        </is>
      </c>
      <c r="C427" s="2" t="inlineStr">
        <is>
          <t xml:space="preserve">Retail – Dillard's</t>
        </is>
      </c>
      <c r="D427" s="3">
        <v>120.44</v>
      </c>
    </row>
    <row r="428">
      <c r="A428" s="4">
        <v>46258</v>
      </c>
      <c r="B428" s="2" t="inlineStr">
        <is>
          <t xml:space="preserve">Dillards 156 Westfield</t>
        </is>
      </c>
      <c r="C428" s="2" t="inlineStr">
        <is>
          <t xml:space="preserve">Retail – Dillard's</t>
        </is>
      </c>
      <c r="D428" s="3">
        <v>54.3</v>
      </c>
    </row>
    <row r="429">
      <c r="A429" s="7"/>
      <c r="B429" s="7"/>
      <c r="C429" s="7" t="inlineStr">
        <is>
          <t xml:space="preserve">Subtotal – Retail – Dillard's</t>
        </is>
      </c>
      <c r="D429" s="6">
        <f>SUM(D427:D428)</f>
        <v>174.74</v>
      </c>
    </row>
    <row r="430">
      <c r="A430" s="4">
        <v>46248</v>
      </c>
      <c r="B430" s="2" t="inlineStr">
        <is>
          <t xml:space="preserve">Homesense #2009 Wilmington</t>
        </is>
      </c>
      <c r="C430" s="2" t="inlineStr">
        <is>
          <t xml:space="preserve">Retail – HomeSense</t>
        </is>
      </c>
      <c r="D430" s="3">
        <v>88.7</v>
      </c>
    </row>
    <row r="431">
      <c r="A431" s="7"/>
      <c r="B431" s="7"/>
      <c r="C431" s="7" t="inlineStr">
        <is>
          <t xml:space="preserve">Subtotal – Retail – HomeSense</t>
        </is>
      </c>
      <c r="D431" s="6">
        <f>SUM(D430:D430)</f>
        <v>88.7</v>
      </c>
    </row>
    <row r="432">
      <c r="A432" s="4">
        <v>46238</v>
      </c>
      <c r="B432" s="2" t="inlineStr">
        <is>
          <t xml:space="preserve">Hobbylobby Southport NC</t>
        </is>
      </c>
      <c r="C432" s="2" t="inlineStr">
        <is>
          <t xml:space="preserve">Retail – Hobby Lobby</t>
        </is>
      </c>
      <c r="D432" s="3">
        <v>20.66</v>
      </c>
    </row>
    <row r="433">
      <c r="A433" s="4">
        <v>46251</v>
      </c>
      <c r="B433" s="2" t="inlineStr">
        <is>
          <t xml:space="preserve">Hobbylobby Southport NC</t>
        </is>
      </c>
      <c r="C433" s="2" t="inlineStr">
        <is>
          <t xml:space="preserve">Retail – Hobby Lobby</t>
        </is>
      </c>
      <c r="D433" s="3">
        <v>145.01</v>
      </c>
    </row>
    <row r="434">
      <c r="A434" s="7"/>
      <c r="B434" s="7"/>
      <c r="C434" s="7" t="inlineStr">
        <is>
          <t xml:space="preserve">Subtotal – Retail – Hobby Lobby</t>
        </is>
      </c>
      <c r="D434" s="6">
        <f>SUM(D432:D433)</f>
        <v>165.67</v>
      </c>
    </row>
    <row r="435">
      <c r="A435" s="4">
        <v>46241</v>
      </c>
      <c r="B435" s="2" t="inlineStr">
        <is>
          <t xml:space="preserve">Lowe's #682 Southport NC</t>
        </is>
      </c>
      <c r="C435" s="2" t="inlineStr">
        <is>
          <t xml:space="preserve">Retail – Lowe's (home improvement)</t>
        </is>
      </c>
      <c r="D435" s="3">
        <v>171.55</v>
      </c>
    </row>
    <row r="436">
      <c r="A436" s="7"/>
      <c r="B436" s="7"/>
      <c r="C436" s="7" t="inlineStr">
        <is>
          <t xml:space="preserve">Subtotal – Retail – Lowe's (home improvement)</t>
        </is>
      </c>
      <c r="D436" s="6">
        <f>SUM(D435:D435)</f>
        <v>171.55</v>
      </c>
    </row>
    <row r="437">
      <c r="A437" s="4">
        <v>46252</v>
      </c>
      <c r="B437" s="2" t="inlineStr">
        <is>
          <t xml:space="preserve">Tractor Supply # 5049 Sou</t>
        </is>
      </c>
      <c r="C437" s="2" t="inlineStr">
        <is>
          <t xml:space="preserve">Retail – Tractor Supply</t>
        </is>
      </c>
      <c r="D437" s="3">
        <v>29.86</v>
      </c>
    </row>
    <row r="438">
      <c r="A438" s="7"/>
      <c r="B438" s="7"/>
      <c r="C438" s="7" t="inlineStr">
        <is>
          <t xml:space="preserve">Subtotal – Retail – Tractor Supply</t>
        </is>
      </c>
      <c r="D438" s="6">
        <f>SUM(D437:D437)</f>
        <v>29.86</v>
      </c>
    </row>
    <row r="439">
      <c r="A439" s="4">
        <v>46238</v>
      </c>
      <c r="B439" s="2" t="inlineStr">
        <is>
          <t xml:space="preserve">Dollartree Southport NC</t>
        </is>
      </c>
      <c r="C439" s="2" t="inlineStr">
        <is>
          <t xml:space="preserve">Retail – Dollar Tree / Dollar General</t>
        </is>
      </c>
      <c r="D439" s="3">
        <v>17.35</v>
      </c>
    </row>
    <row r="440">
      <c r="A440" s="7"/>
      <c r="B440" s="7"/>
      <c r="C440" s="7" t="inlineStr">
        <is>
          <t xml:space="preserve">Subtotal – Retail – Dollar Tree / Dollar General</t>
        </is>
      </c>
      <c r="D440" s="6">
        <f>SUM(D439:D439)</f>
        <v>17.35</v>
      </c>
    </row>
    <row r="441">
      <c r="A441" s="4">
        <v>46232</v>
      </c>
      <c r="B441" s="2" t="inlineStr">
        <is>
          <t xml:space="preserve">Autobks*Nextgen LA</t>
        </is>
      </c>
      <c r="C441" s="2" t="inlineStr">
        <is>
          <t xml:space="preserve">Yard Company (NextGen)</t>
        </is>
      </c>
      <c r="D441" s="3">
        <v>100.0</v>
      </c>
    </row>
    <row r="442">
      <c r="A442" s="4">
        <v>46239</v>
      </c>
      <c r="B442" s="2" t="inlineStr">
        <is>
          <t xml:space="preserve">Autobks*Nextgen LA</t>
        </is>
      </c>
      <c r="C442" s="2" t="inlineStr">
        <is>
          <t xml:space="preserve">Yard Company (NextGen)</t>
        </is>
      </c>
      <c r="D442" s="3">
        <v>60.0</v>
      </c>
    </row>
    <row r="443">
      <c r="A443" s="4">
        <v>46252</v>
      </c>
      <c r="B443" s="2" t="inlineStr">
        <is>
          <t xml:space="preserve">Autobks*Nextgen LA</t>
        </is>
      </c>
      <c r="C443" s="2" t="inlineStr">
        <is>
          <t xml:space="preserve">Yard Company (NextGen)</t>
        </is>
      </c>
      <c r="D443" s="3">
        <v>60.0</v>
      </c>
    </row>
    <row r="444">
      <c r="A444" s="7"/>
      <c r="B444" s="7"/>
      <c r="C444" s="7" t="inlineStr">
        <is>
          <t xml:space="preserve">Subtotal – Yard Company (NextGen)</t>
        </is>
      </c>
      <c r="D444" s="6">
        <f>SUM(D441:D443)</f>
        <v>220.0</v>
      </c>
    </row>
    <row r="445">
      <c r="A445" s="4">
        <v>46232</v>
      </c>
      <c r="B445" s="2" t="inlineStr">
        <is>
          <t xml:space="preserve">PY *Manning S Pest</t>
        </is>
      </c>
      <c r="C445" s="2" t="inlineStr">
        <is>
          <t xml:space="preserve">Home Services (Pest Control, Lawn Treatment)</t>
        </is>
      </c>
      <c r="D445" s="3">
        <v>104.0</v>
      </c>
    </row>
    <row r="446">
      <c r="A446" s="7"/>
      <c r="B446" s="7"/>
      <c r="C446" s="7" t="inlineStr">
        <is>
          <t xml:space="preserve">Subtotal – Home Services (Pest Control, Lawn Treatment)</t>
        </is>
      </c>
      <c r="D446" s="6">
        <f>SUM(D445:D445)</f>
        <v>104.0</v>
      </c>
    </row>
    <row r="447">
      <c r="A447" s="4">
        <v>46244</v>
      </c>
      <c r="B447" s="2" t="inlineStr">
        <is>
          <t xml:space="preserve">Surf Cinema 4 B&amp;M Southport</t>
        </is>
      </c>
      <c r="C447" s="2" t="inlineStr">
        <is>
          <t xml:space="preserve">Entertainment (Surf Cinema)</t>
        </is>
      </c>
      <c r="D447" s="3">
        <v>13.5</v>
      </c>
    </row>
    <row r="448">
      <c r="A448" s="7"/>
      <c r="B448" s="7"/>
      <c r="C448" s="7" t="inlineStr">
        <is>
          <t xml:space="preserve">Subtotal – Entertainment (Surf Cinema)</t>
        </is>
      </c>
      <c r="D448" s="6">
        <f>SUM(D447:D447)</f>
        <v>13.5</v>
      </c>
    </row>
    <row r="449">
      <c r="A449" s="4">
        <v>46241</v>
      </c>
      <c r="B449" s="2" t="inlineStr">
        <is>
          <t xml:space="preserve">Venmo *Jared Tinstman</t>
        </is>
      </c>
      <c r="C449" s="2" t="inlineStr">
        <is>
          <t xml:space="preserve">Transfers to People (Venmo/Zelle)</t>
        </is>
      </c>
      <c r="D449" s="3">
        <v>331.5</v>
      </c>
    </row>
    <row r="450">
      <c r="A450" s="7"/>
      <c r="B450" s="7"/>
      <c r="C450" s="7" t="inlineStr">
        <is>
          <t xml:space="preserve">Subtotal – Transfers to People (Venmo/Zelle)</t>
        </is>
      </c>
      <c r="D450" s="6">
        <f>SUM(D449:D449)</f>
        <v>331.5</v>
      </c>
    </row>
    <row r="451">
      <c r="A451" s="8"/>
      <c r="B451" s="8"/>
      <c r="C451" s="8" t="inlineStr">
        <is>
          <t xml:space="preserve">TOTAL SPENDING – August 2026</t>
        </is>
      </c>
      <c r="D451" s="9">
        <f>D313+D315+D318+D320+D322+D324+D326+D328+D333+D336+D338+D340+D349+D354+D356+D358+D384+D392+D396+D398+D400+D402+D404+D406+D412+D416+D419+D422+D426+D429+D431+D434+D436+D438+D440+D444+D446+D448+D450</f>
        <v>14654.04</v>
      </c>
    </row>
    <row r="452">
      <c r="C452" s="12" t="inlineStr">
        <is>
          <t xml:space="preserve">Check vs. Monthly Summary (should be $0)</t>
        </is>
      </c>
      <c r="D452" s="3">
        <f>D451-'Monthly Summary'!D120</f>
        <v>0.0</v>
      </c>
    </row>
    <row r="455">
      <c r="A455" s="6" t="inlineStr">
        <is>
          <t xml:space="preserve">September 2026  ·  statement period 8/26–9/24/26</t>
        </is>
      </c>
      <c r="B455" s="6"/>
      <c r="C455" s="6"/>
      <c r="D455" s="6"/>
    </row>
    <row r="456">
      <c r="A456" s="1" t="inlineStr">
        <is>
          <t xml:space="preserve">Date</t>
        </is>
      </c>
      <c r="B456" s="15" t="inlineStr">
        <is>
          <t xml:space="preserve">Description</t>
        </is>
      </c>
      <c r="C456" s="1" t="inlineStr">
        <is>
          <t xml:space="preserve">Category</t>
        </is>
      </c>
      <c r="D456" s="1" t="inlineStr">
        <is>
          <t xml:space="preserve">Amount</t>
        </is>
      </c>
    </row>
    <row r="457">
      <c r="A457" s="4">
        <v>46280</v>
      </c>
      <c r="B457" s="2" t="inlineStr">
        <is>
          <t xml:space="preserve">A&amp;D Mortgage LLC Re Payment</t>
        </is>
      </c>
      <c r="C457" s="2" t="inlineStr">
        <is>
          <t xml:space="preserve">A&amp;D Mortgage</t>
        </is>
      </c>
      <c r="D457" s="3">
        <v>3411.1</v>
      </c>
    </row>
    <row r="458">
      <c r="A458" s="7"/>
      <c r="B458" s="7"/>
      <c r="C458" s="7" t="inlineStr">
        <is>
          <t xml:space="preserve">Subtotal – A&amp;D Mortgage</t>
        </is>
      </c>
      <c r="D458" s="6">
        <f>SUM(D457:D457)</f>
        <v>3411.1</v>
      </c>
    </row>
    <row r="459">
      <c r="A459" s="4">
        <v>46286</v>
      </c>
      <c r="B459" s="2" t="inlineStr">
        <is>
          <t xml:space="preserve">St James 7134 Pap</t>
        </is>
      </c>
      <c r="C459" s="2" t="inlineStr">
        <is>
          <t xml:space="preserve">St. James Membership (Club)</t>
        </is>
      </c>
      <c r="D459" s="3">
        <v>1767.0</v>
      </c>
    </row>
    <row r="460">
      <c r="A460" s="7"/>
      <c r="B460" s="7"/>
      <c r="C460" s="7" t="inlineStr">
        <is>
          <t xml:space="preserve">Subtotal – St. James Membership (Club)</t>
        </is>
      </c>
      <c r="D460" s="6">
        <f>SUM(D459:D459)</f>
        <v>1767.0</v>
      </c>
    </row>
    <row r="461">
      <c r="A461" s="4">
        <v>46286</v>
      </c>
      <c r="B461" s="2" t="inlineStr">
        <is>
          <t xml:space="preserve">Allstate *Paymn</t>
        </is>
      </c>
      <c r="C461" s="2" t="inlineStr">
        <is>
          <t xml:space="preserve">Allstate Insurance</t>
        </is>
      </c>
      <c r="D461" s="3">
        <v>354.17</v>
      </c>
    </row>
    <row r="462">
      <c r="A462" s="7"/>
      <c r="B462" s="7"/>
      <c r="C462" s="7" t="inlineStr">
        <is>
          <t xml:space="preserve">Subtotal – Allstate Insurance</t>
        </is>
      </c>
      <c r="D462" s="6">
        <f>SUM(D461:D461)</f>
        <v>354.17</v>
      </c>
    </row>
    <row r="463">
      <c r="A463" s="4">
        <v>46282</v>
      </c>
      <c r="B463" s="2" t="inlineStr">
        <is>
          <t xml:space="preserve">+Lincoln Nationa EDI Pymnt</t>
        </is>
      </c>
      <c r="C463" s="2" t="inlineStr">
        <is>
          <t xml:space="preserve">Life Insurance (Lincoln National)</t>
        </is>
      </c>
      <c r="D463" s="3">
        <v>73.61</v>
      </c>
    </row>
    <row r="464">
      <c r="A464" s="7"/>
      <c r="B464" s="7"/>
      <c r="C464" s="7" t="inlineStr">
        <is>
          <t xml:space="preserve">Subtotal – Life Insurance (Lincoln National)</t>
        </is>
      </c>
      <c r="D464" s="6">
        <f>SUM(D463:D463)</f>
        <v>73.61</v>
      </c>
    </row>
    <row r="465">
      <c r="A465" s="4">
        <v>46273</v>
      </c>
      <c r="B465" s="2" t="inlineStr">
        <is>
          <t xml:space="preserve">Banner Life Prem Debit 17180884647</t>
        </is>
      </c>
      <c r="C465" s="2" t="inlineStr">
        <is>
          <t xml:space="preserve">Banner Life Insurance</t>
        </is>
      </c>
      <c r="D465" s="3">
        <v>710.06</v>
      </c>
    </row>
    <row r="466">
      <c r="A466" s="7"/>
      <c r="B466" s="7"/>
      <c r="C466" s="7" t="inlineStr">
        <is>
          <t xml:space="preserve">Subtotal – Banner Life Insurance</t>
        </is>
      </c>
      <c r="D466" s="6">
        <f>SUM(D465:D465)</f>
        <v>710.06</v>
      </c>
    </row>
    <row r="467">
      <c r="A467" s="4">
        <v>46275</v>
      </c>
      <c r="B467" s="2" t="inlineStr">
        <is>
          <t xml:space="preserve">Aci*Blue Cross NC</t>
        </is>
      </c>
      <c r="C467" s="2" t="inlineStr">
        <is>
          <t xml:space="preserve">Health Insurance – Blue Cross NC</t>
        </is>
      </c>
      <c r="D467" s="3">
        <v>216.25</v>
      </c>
    </row>
    <row r="468">
      <c r="A468" s="7"/>
      <c r="B468" s="7"/>
      <c r="C468" s="7" t="inlineStr">
        <is>
          <t xml:space="preserve">Subtotal – Health Insurance – Blue Cross NC</t>
        </is>
      </c>
      <c r="D468" s="6">
        <f>SUM(D467:D467)</f>
        <v>216.25</v>
      </c>
    </row>
    <row r="469">
      <c r="A469" s="4">
        <v>46273</v>
      </c>
      <c r="B469" s="2" t="inlineStr">
        <is>
          <t xml:space="preserve">Delta Dental of Delta Dent</t>
        </is>
      </c>
      <c r="C469" s="2" t="inlineStr">
        <is>
          <t xml:space="preserve">Dental Insurance – Delta Dental</t>
        </is>
      </c>
      <c r="D469" s="3">
        <v>69.36</v>
      </c>
    </row>
    <row r="470">
      <c r="A470" s="7"/>
      <c r="B470" s="7"/>
      <c r="C470" s="7" t="inlineStr">
        <is>
          <t xml:space="preserve">Subtotal – Dental Insurance – Delta Dental</t>
        </is>
      </c>
      <c r="D470" s="6">
        <f>SUM(D469:D469)</f>
        <v>69.36</v>
      </c>
    </row>
    <row r="471">
      <c r="A471" s="4">
        <v>46275</v>
      </c>
      <c r="B471" s="2" t="inlineStr">
        <is>
          <t xml:space="preserve">Bemc - Ecc WWW.Bemc.Coop NC</t>
        </is>
      </c>
      <c r="C471" s="2" t="inlineStr">
        <is>
          <t xml:space="preserve">Utility – Electric (BEMC)</t>
        </is>
      </c>
      <c r="D471" s="3">
        <v>419.66</v>
      </c>
    </row>
    <row r="472">
      <c r="A472" s="7"/>
      <c r="B472" s="7"/>
      <c r="C472" s="7" t="inlineStr">
        <is>
          <t xml:space="preserve">Subtotal – Utility – Electric (BEMC)</t>
        </is>
      </c>
      <c r="D472" s="6">
        <f>SUM(D471:D471)</f>
        <v>419.66</v>
      </c>
    </row>
    <row r="473">
      <c r="A473" s="4">
        <v>46279</v>
      </c>
      <c r="B473" s="2" t="inlineStr">
        <is>
          <t xml:space="preserve">Opc*Brunswick CO U</t>
        </is>
      </c>
      <c r="C473" s="2" t="inlineStr">
        <is>
          <t xml:space="preserve">Utility – Water/Sewer (Brunswick County)</t>
        </is>
      </c>
      <c r="D473" s="3">
        <v>81.31</v>
      </c>
    </row>
    <row r="474">
      <c r="A474" s="4">
        <v>46279</v>
      </c>
      <c r="B474" s="2" t="inlineStr">
        <is>
          <t xml:space="preserve">Opc Utl*Service Fe</t>
        </is>
      </c>
      <c r="C474" s="2" t="inlineStr">
        <is>
          <t xml:space="preserve">Utility – Water/Sewer (Brunswick County)</t>
        </is>
      </c>
      <c r="D474" s="3">
        <v>2.95</v>
      </c>
    </row>
    <row r="475">
      <c r="A475" s="7"/>
      <c r="B475" s="7"/>
      <c r="C475" s="7" t="inlineStr">
        <is>
          <t xml:space="preserve">Subtotal – Utility – Water/Sewer (Brunswick County)</t>
        </is>
      </c>
      <c r="D475" s="6">
        <f>SUM(D473:D474)</f>
        <v>84.26</v>
      </c>
    </row>
    <row r="476">
      <c r="A476" s="4">
        <v>46275</v>
      </c>
      <c r="B476" s="2" t="inlineStr">
        <is>
          <t xml:space="preserve">Focus Broadband Clover.Com NC</t>
        </is>
      </c>
      <c r="C476" s="2" t="inlineStr">
        <is>
          <t xml:space="preserve">Internet – Focus Broadband</t>
        </is>
      </c>
      <c r="D476" s="3">
        <v>80.79</v>
      </c>
    </row>
    <row r="477">
      <c r="A477" s="7"/>
      <c r="B477" s="7"/>
      <c r="C477" s="7" t="inlineStr">
        <is>
          <t xml:space="preserve">Subtotal – Internet – Focus Broadband</t>
        </is>
      </c>
      <c r="D477" s="6">
        <f>SUM(D476:D476)</f>
        <v>80.79</v>
      </c>
    </row>
    <row r="478">
      <c r="A478" s="4">
        <v>46286</v>
      </c>
      <c r="B478" s="2" t="inlineStr">
        <is>
          <t xml:space="preserve">Verizon Wireless Payments</t>
        </is>
      </c>
      <c r="C478" s="2" t="inlineStr">
        <is>
          <t xml:space="preserve">Verizon Wireless</t>
        </is>
      </c>
      <c r="D478" s="3">
        <v>386.85</v>
      </c>
    </row>
    <row r="479">
      <c r="A479" s="7"/>
      <c r="B479" s="7"/>
      <c r="C479" s="7" t="inlineStr">
        <is>
          <t xml:space="preserve">Subtotal – Verizon Wireless</t>
        </is>
      </c>
      <c r="D479" s="6">
        <f>SUM(D478:D478)</f>
        <v>386.85</v>
      </c>
    </row>
    <row r="480">
      <c r="A480" s="4">
        <v>46279</v>
      </c>
      <c r="B480" s="2" t="inlineStr">
        <is>
          <t xml:space="preserve">Dept Education Student Ln 0000</t>
        </is>
      </c>
      <c r="C480" s="2" t="inlineStr">
        <is>
          <t xml:space="preserve">Student Loan (Dept of Education)</t>
        </is>
      </c>
      <c r="D480" s="3">
        <v>160.37</v>
      </c>
    </row>
    <row r="481">
      <c r="A481" s="7"/>
      <c r="B481" s="7"/>
      <c r="C481" s="7" t="inlineStr">
        <is>
          <t xml:space="preserve">Subtotal – Student Loan (Dept of Education)</t>
        </is>
      </c>
      <c r="D481" s="6">
        <f>SUM(D480:D480)</f>
        <v>160.37</v>
      </c>
    </row>
    <row r="482">
      <c r="A482" s="4">
        <v>46265</v>
      </c>
      <c r="B482" s="2" t="inlineStr">
        <is>
          <t xml:space="preserve">Lowes Foods #27 Southport NC</t>
        </is>
      </c>
      <c r="C482" s="2" t="inlineStr">
        <is>
          <t xml:space="preserve">Grocery – Lowes Foods</t>
        </is>
      </c>
      <c r="D482" s="3">
        <v>5.28</v>
      </c>
    </row>
    <row r="483">
      <c r="A483" s="4">
        <v>46266</v>
      </c>
      <c r="B483" s="2" t="inlineStr">
        <is>
          <t xml:space="preserve">Lowe's Foods #1 Oak Island NC</t>
        </is>
      </c>
      <c r="C483" s="2" t="inlineStr">
        <is>
          <t xml:space="preserve">Grocery – Lowes Foods</t>
        </is>
      </c>
      <c r="D483" s="3">
        <v>53.9</v>
      </c>
    </row>
    <row r="484">
      <c r="A484" s="4">
        <v>46266</v>
      </c>
      <c r="B484" s="2" t="inlineStr">
        <is>
          <t xml:space="preserve">Lowes Food #235 Bolivia NC</t>
        </is>
      </c>
      <c r="C484" s="2" t="inlineStr">
        <is>
          <t xml:space="preserve">Grocery – Lowes Foods</t>
        </is>
      </c>
      <c r="D484" s="3">
        <v>174.04</v>
      </c>
    </row>
    <row r="485">
      <c r="A485" s="4">
        <v>46268</v>
      </c>
      <c r="B485" s="2" t="inlineStr">
        <is>
          <t xml:space="preserve">Lowes Foods #27 Southport NC</t>
        </is>
      </c>
      <c r="C485" s="2" t="inlineStr">
        <is>
          <t xml:space="preserve">Grocery – Lowes Foods</t>
        </is>
      </c>
      <c r="D485" s="3">
        <v>28.23</v>
      </c>
    </row>
    <row r="486">
      <c r="A486" s="4">
        <v>46274</v>
      </c>
      <c r="B486" s="2" t="inlineStr">
        <is>
          <t xml:space="preserve">Lowes Foods #27 Southport NC</t>
        </is>
      </c>
      <c r="C486" s="2" t="inlineStr">
        <is>
          <t xml:space="preserve">Grocery – Lowes Foods</t>
        </is>
      </c>
      <c r="D486" s="3">
        <v>221.77</v>
      </c>
    </row>
    <row r="487">
      <c r="A487" s="4">
        <v>46279</v>
      </c>
      <c r="B487" s="2" t="inlineStr">
        <is>
          <t xml:space="preserve">Lowes Food #235 Bolivia NC</t>
        </is>
      </c>
      <c r="C487" s="2" t="inlineStr">
        <is>
          <t xml:space="preserve">Grocery – Lowes Foods</t>
        </is>
      </c>
      <c r="D487" s="3">
        <v>88.63</v>
      </c>
    </row>
    <row r="488">
      <c r="A488" s="7"/>
      <c r="B488" s="7"/>
      <c r="C488" s="7" t="inlineStr">
        <is>
          <t xml:space="preserve">Subtotal – Grocery – Lowes Foods</t>
        </is>
      </c>
      <c r="D488" s="6">
        <f>SUM(D482:D487)</f>
        <v>571.85</v>
      </c>
    </row>
    <row r="489">
      <c r="A489" s="4">
        <v>46265</v>
      </c>
      <c r="B489" s="2" t="inlineStr">
        <is>
          <t xml:space="preserve">Publix #1703 Oak Island NC</t>
        </is>
      </c>
      <c r="C489" s="2" t="inlineStr">
        <is>
          <t xml:space="preserve">Grocery – Publix</t>
        </is>
      </c>
      <c r="D489" s="3">
        <v>98.73</v>
      </c>
    </row>
    <row r="490">
      <c r="A490" s="4">
        <v>46273</v>
      </c>
      <c r="B490" s="2" t="inlineStr">
        <is>
          <t xml:space="preserve">Publix #1703 Oak Island NC</t>
        </is>
      </c>
      <c r="C490" s="2" t="inlineStr">
        <is>
          <t xml:space="preserve">Grocery – Publix</t>
        </is>
      </c>
      <c r="D490" s="3">
        <v>121.64</v>
      </c>
    </row>
    <row r="491">
      <c r="A491" s="4">
        <v>46286</v>
      </c>
      <c r="B491" s="2" t="inlineStr">
        <is>
          <t xml:space="preserve">Publix #1703 Oak Island NC</t>
        </is>
      </c>
      <c r="C491" s="2" t="inlineStr">
        <is>
          <t xml:space="preserve">Grocery – Publix</t>
        </is>
      </c>
      <c r="D491" s="3">
        <v>288.5</v>
      </c>
    </row>
    <row r="492">
      <c r="A492" s="4">
        <v>46288</v>
      </c>
      <c r="B492" s="2" t="inlineStr">
        <is>
          <t xml:space="preserve">Publix #1703 Oak Island NC</t>
        </is>
      </c>
      <c r="C492" s="2" t="inlineStr">
        <is>
          <t xml:space="preserve">Grocery – Publix</t>
        </is>
      </c>
      <c r="D492" s="3">
        <v>121.78</v>
      </c>
    </row>
    <row r="493">
      <c r="A493" s="7"/>
      <c r="B493" s="7"/>
      <c r="C493" s="7" t="inlineStr">
        <is>
          <t xml:space="preserve">Subtotal – Grocery – Publix</t>
        </is>
      </c>
      <c r="D493" s="6">
        <f>SUM(D489:D492)</f>
        <v>630.65</v>
      </c>
    </row>
    <row r="494">
      <c r="A494" s="4">
        <v>46262</v>
      </c>
      <c r="B494" s="2" t="inlineStr">
        <is>
          <t xml:space="preserve">Tst*Cafe Koa - Oak Southport NC</t>
        </is>
      </c>
      <c r="C494" s="2" t="inlineStr">
        <is>
          <t xml:space="preserve">Restaurants &amp; Takeout</t>
        </is>
      </c>
      <c r="D494" s="3">
        <v>25.81</v>
      </c>
    </row>
    <row r="495">
      <c r="A495" s="4">
        <v>46262</v>
      </c>
      <c r="B495" s="2" t="inlineStr">
        <is>
          <t xml:space="preserve">Lil &amp; Johnssweetre Oak Island</t>
        </is>
      </c>
      <c r="C495" s="2" t="inlineStr">
        <is>
          <t xml:space="preserve">Restaurants &amp; Takeout</t>
        </is>
      </c>
      <c r="D495" s="3">
        <v>18.35</v>
      </c>
    </row>
    <row r="496">
      <c r="A496" s="4">
        <v>46265</v>
      </c>
      <c r="B496" s="2" t="inlineStr">
        <is>
          <t xml:space="preserve">McDonald's F7702 Southport NC</t>
        </is>
      </c>
      <c r="C496" s="2" t="inlineStr">
        <is>
          <t xml:space="preserve">Restaurants &amp; Takeout</t>
        </is>
      </c>
      <c r="D496" s="3">
        <v>9.49</v>
      </c>
    </row>
    <row r="497">
      <c r="A497" s="4">
        <v>46265</v>
      </c>
      <c r="B497" s="2" t="inlineStr">
        <is>
          <t xml:space="preserve">Burney's Bakery of Southport NC</t>
        </is>
      </c>
      <c r="C497" s="2" t="inlineStr">
        <is>
          <t xml:space="preserve">Restaurants &amp; Takeout</t>
        </is>
      </c>
      <c r="D497" s="3">
        <v>15.17</v>
      </c>
    </row>
    <row r="498">
      <c r="A498" s="4">
        <v>46265</v>
      </c>
      <c r="B498" s="2" t="inlineStr">
        <is>
          <t xml:space="preserve">365 Market H 888 4 Troy MI</t>
        </is>
      </c>
      <c r="C498" s="2" t="inlineStr">
        <is>
          <t xml:space="preserve">Restaurants &amp; Takeout</t>
        </is>
      </c>
      <c r="D498" s="3">
        <v>8.27</v>
      </c>
    </row>
    <row r="499">
      <c r="A499" s="4">
        <v>46265</v>
      </c>
      <c r="B499" s="2" t="inlineStr">
        <is>
          <t xml:space="preserve">DD *Doordash Seasi</t>
        </is>
      </c>
      <c r="C499" s="2" t="inlineStr">
        <is>
          <t xml:space="preserve">Restaurants &amp; Takeout</t>
        </is>
      </c>
      <c r="D499" s="3">
        <v>49.01</v>
      </c>
    </row>
    <row r="500">
      <c r="A500" s="4">
        <v>46267</v>
      </c>
      <c r="B500" s="2" t="inlineStr">
        <is>
          <t xml:space="preserve">McDonald's F35966 Supply NC</t>
        </is>
      </c>
      <c r="C500" s="2" t="inlineStr">
        <is>
          <t xml:space="preserve">Restaurants &amp; Takeout</t>
        </is>
      </c>
      <c r="D500" s="3">
        <v>8.53</v>
      </c>
    </row>
    <row r="501">
      <c r="A501" s="4">
        <v>46268</v>
      </c>
      <c r="B501" s="2" t="inlineStr">
        <is>
          <t xml:space="preserve">Tst* The Grumpy MO Myrtle</t>
        </is>
      </c>
      <c r="C501" s="2" t="inlineStr">
        <is>
          <t xml:space="preserve">Restaurants &amp; Takeout</t>
        </is>
      </c>
      <c r="D501" s="3">
        <v>33.16</v>
      </c>
    </row>
    <row r="502">
      <c r="A502" s="4">
        <v>46268</v>
      </c>
      <c r="B502" s="2" t="inlineStr">
        <is>
          <t xml:space="preserve">Tst*Little Pigs Bb Myrtle Beach</t>
        </is>
      </c>
      <c r="C502" s="2" t="inlineStr">
        <is>
          <t xml:space="preserve">Restaurants &amp; Takeout</t>
        </is>
      </c>
      <c r="D502" s="3">
        <v>15.47</v>
      </c>
    </row>
    <row r="503">
      <c r="A503" s="4">
        <v>46269</v>
      </c>
      <c r="B503" s="2" t="inlineStr">
        <is>
          <t xml:space="preserve">McDonald's F7702 Southport NC</t>
        </is>
      </c>
      <c r="C503" s="2" t="inlineStr">
        <is>
          <t xml:space="preserve">Restaurants &amp; Takeout</t>
        </is>
      </c>
      <c r="D503" s="3">
        <v>9.15</v>
      </c>
    </row>
    <row r="504">
      <c r="A504" s="4">
        <v>46273</v>
      </c>
      <c r="B504" s="2" t="inlineStr">
        <is>
          <t xml:space="preserve">Fishy Fishy Cafe Southport NC</t>
        </is>
      </c>
      <c r="C504" s="2" t="inlineStr">
        <is>
          <t xml:space="preserve">Restaurants &amp; Takeout</t>
        </is>
      </c>
      <c r="D504" s="3">
        <v>129.69</v>
      </c>
    </row>
    <row r="505">
      <c r="A505" s="4">
        <v>46273</v>
      </c>
      <c r="B505" s="2" t="inlineStr">
        <is>
          <t xml:space="preserve">Tst*Lucca Italian Shallotte NC</t>
        </is>
      </c>
      <c r="C505" s="2" t="inlineStr">
        <is>
          <t xml:space="preserve">Restaurants &amp; Takeout</t>
        </is>
      </c>
      <c r="D505" s="3">
        <v>104.54</v>
      </c>
    </row>
    <row r="506">
      <c r="A506" s="4">
        <v>46279</v>
      </c>
      <c r="B506" s="2" t="inlineStr">
        <is>
          <t xml:space="preserve">NY Pizza - Bass PR Cary NC</t>
        </is>
      </c>
      <c r="C506" s="2" t="inlineStr">
        <is>
          <t xml:space="preserve">Restaurants &amp; Takeout</t>
        </is>
      </c>
      <c r="D506" s="3">
        <v>34.89</v>
      </c>
    </row>
    <row r="507">
      <c r="A507" s="4">
        <v>46281</v>
      </c>
      <c r="B507" s="2" t="inlineStr">
        <is>
          <t xml:space="preserve">Wendys 333 Garner NC</t>
        </is>
      </c>
      <c r="C507" s="2" t="inlineStr">
        <is>
          <t xml:space="preserve">Restaurants &amp; Takeout</t>
        </is>
      </c>
      <c r="D507" s="3">
        <v>13.86</v>
      </c>
    </row>
    <row r="508">
      <c r="A508" s="4">
        <v>46281</v>
      </c>
      <c r="B508" s="2" t="inlineStr">
        <is>
          <t xml:space="preserve">McDonald's F35966 Supply NC</t>
        </is>
      </c>
      <c r="C508" s="2" t="inlineStr">
        <is>
          <t xml:space="preserve">Restaurants &amp; Takeout</t>
        </is>
      </c>
      <c r="D508" s="3">
        <v>9.58</v>
      </c>
    </row>
    <row r="509">
      <c r="A509" s="4">
        <v>46282</v>
      </c>
      <c r="B509" s="2" t="inlineStr">
        <is>
          <t xml:space="preserve">Chick-Fil-A #04769 Shallotte NC</t>
        </is>
      </c>
      <c r="C509" s="2" t="inlineStr">
        <is>
          <t xml:space="preserve">Restaurants &amp; Takeout</t>
        </is>
      </c>
      <c r="D509" s="3">
        <v>10.05</v>
      </c>
    </row>
    <row r="510">
      <c r="A510" s="4">
        <v>46282</v>
      </c>
      <c r="B510" s="2" t="inlineStr">
        <is>
          <t xml:space="preserve">Tst* The Grumpy MO Myrtle</t>
        </is>
      </c>
      <c r="C510" s="2" t="inlineStr">
        <is>
          <t xml:space="preserve">Restaurants &amp; Takeout</t>
        </is>
      </c>
      <c r="D510" s="3">
        <v>25.97</v>
      </c>
    </row>
    <row r="511">
      <c r="A511" s="4">
        <v>46282</v>
      </c>
      <c r="B511" s="2" t="inlineStr">
        <is>
          <t xml:space="preserve">McDonald's F31556 Little River</t>
        </is>
      </c>
      <c r="C511" s="2" t="inlineStr">
        <is>
          <t xml:space="preserve">Restaurants &amp; Takeout</t>
        </is>
      </c>
      <c r="D511" s="3">
        <v>11.25</v>
      </c>
    </row>
    <row r="512">
      <c r="A512" s="4">
        <v>46283</v>
      </c>
      <c r="B512" s="2" t="inlineStr">
        <is>
          <t xml:space="preserve">Starbucks Store 71 Southport</t>
        </is>
      </c>
      <c r="C512" s="2" t="inlineStr">
        <is>
          <t xml:space="preserve">Restaurants &amp; Takeout</t>
        </is>
      </c>
      <c r="D512" s="3">
        <v>9.42</v>
      </c>
    </row>
    <row r="513">
      <c r="A513" s="4">
        <v>46283</v>
      </c>
      <c r="B513" s="2" t="inlineStr">
        <is>
          <t xml:space="preserve">San Felipe Mexican</t>
        </is>
      </c>
      <c r="C513" s="2" t="inlineStr">
        <is>
          <t xml:space="preserve">Restaurants &amp; Takeout</t>
        </is>
      </c>
      <c r="D513" s="3">
        <v>17.86</v>
      </c>
    </row>
    <row r="514">
      <c r="A514" s="4">
        <v>46286</v>
      </c>
      <c r="B514" s="2" t="inlineStr">
        <is>
          <t xml:space="preserve">Chick-Fil-A #04769 Shallotte NC</t>
        </is>
      </c>
      <c r="C514" s="2" t="inlineStr">
        <is>
          <t xml:space="preserve">Restaurants &amp; Takeout</t>
        </is>
      </c>
      <c r="D514" s="3">
        <v>18.49</v>
      </c>
    </row>
    <row r="515">
      <c r="A515" s="4">
        <v>46287</v>
      </c>
      <c r="B515" s="2" t="inlineStr">
        <is>
          <t xml:space="preserve">Thai &amp; Vine Oak Island NC</t>
        </is>
      </c>
      <c r="C515" s="2" t="inlineStr">
        <is>
          <t xml:space="preserve">Restaurants &amp; Takeout</t>
        </is>
      </c>
      <c r="D515" s="3">
        <v>70.83</v>
      </c>
    </row>
    <row r="516">
      <c r="A516" s="4">
        <v>46288</v>
      </c>
      <c r="B516" s="2" t="inlineStr">
        <is>
          <t xml:space="preserve">Tst*Koko Cabana - Oak Island NC</t>
        </is>
      </c>
      <c r="C516" s="2" t="inlineStr">
        <is>
          <t xml:space="preserve">Restaurants &amp; Takeout</t>
        </is>
      </c>
      <c r="D516" s="3">
        <v>110.34</v>
      </c>
    </row>
    <row r="517">
      <c r="A517" s="4">
        <v>46288</v>
      </c>
      <c r="B517" s="2" t="inlineStr">
        <is>
          <t xml:space="preserve">McDonald's F35966 Supply NC</t>
        </is>
      </c>
      <c r="C517" s="2" t="inlineStr">
        <is>
          <t xml:space="preserve">Restaurants &amp; Takeout</t>
        </is>
      </c>
      <c r="D517" s="3">
        <v>11.91</v>
      </c>
    </row>
    <row r="518">
      <c r="A518" s="4">
        <v>46289</v>
      </c>
      <c r="B518" s="2" t="inlineStr">
        <is>
          <t xml:space="preserve">Tst* The Grumpy MO Myrtle</t>
        </is>
      </c>
      <c r="C518" s="2" t="inlineStr">
        <is>
          <t xml:space="preserve">Restaurants &amp; Takeout</t>
        </is>
      </c>
      <c r="D518" s="3">
        <v>40.89</v>
      </c>
    </row>
    <row r="519">
      <c r="A519" s="4">
        <v>46289</v>
      </c>
      <c r="B519" s="2" t="inlineStr">
        <is>
          <t xml:space="preserve">Moore Street Oyste</t>
        </is>
      </c>
      <c r="C519" s="2" t="inlineStr">
        <is>
          <t xml:space="preserve">Restaurants &amp; Takeout</t>
        </is>
      </c>
      <c r="D519" s="3">
        <v>27.32</v>
      </c>
    </row>
    <row r="520">
      <c r="A520" s="7"/>
      <c r="B520" s="7"/>
      <c r="C520" s="7" t="inlineStr">
        <is>
          <t xml:space="preserve">Subtotal – Restaurants &amp; Takeout</t>
        </is>
      </c>
      <c r="D520" s="6">
        <f>SUM(D494:D519)</f>
        <v>839.3</v>
      </c>
    </row>
    <row r="521">
      <c r="A521" s="4">
        <v>46266</v>
      </c>
      <c r="B521" s="2" t="inlineStr">
        <is>
          <t xml:space="preserve">7-11 #42386 Myrtle Beach SC</t>
        </is>
      </c>
      <c r="C521" s="2" t="inlineStr">
        <is>
          <t xml:space="preserve">Gas &amp; Convenience Stores</t>
        </is>
      </c>
      <c r="D521" s="3">
        <v>46.8</v>
      </c>
    </row>
    <row r="522">
      <c r="A522" s="4">
        <v>46267</v>
      </c>
      <c r="B522" s="2" t="inlineStr">
        <is>
          <t xml:space="preserve">Circlek #2723140 3498 Little</t>
        </is>
      </c>
      <c r="C522" s="2" t="inlineStr">
        <is>
          <t xml:space="preserve">Gas &amp; Convenience Stores</t>
        </is>
      </c>
      <c r="D522" s="3">
        <v>3.99</v>
      </c>
    </row>
    <row r="523">
      <c r="A523" s="4">
        <v>46268</v>
      </c>
      <c r="B523" s="2" t="inlineStr">
        <is>
          <t xml:space="preserve">7-Eleven 42386 Myrtle Beach SC</t>
        </is>
      </c>
      <c r="C523" s="2" t="inlineStr">
        <is>
          <t xml:space="preserve">Gas &amp; Convenience Stores</t>
        </is>
      </c>
      <c r="D523" s="3">
        <v>12.37</v>
      </c>
    </row>
    <row r="524">
      <c r="A524" s="4">
        <v>46279</v>
      </c>
      <c r="B524" s="2" t="inlineStr">
        <is>
          <t xml:space="preserve">Village Store 4 Wallace NC</t>
        </is>
      </c>
      <c r="C524" s="2" t="inlineStr">
        <is>
          <t xml:space="preserve">Gas &amp; Convenience Stores</t>
        </is>
      </c>
      <c r="D524" s="3">
        <v>52.03</v>
      </c>
    </row>
    <row r="525">
      <c r="A525" s="4">
        <v>46280</v>
      </c>
      <c r="B525" s="2" t="inlineStr">
        <is>
          <t xml:space="preserve">Circlek #2723487 16 Oc Supply</t>
        </is>
      </c>
      <c r="C525" s="2" t="inlineStr">
        <is>
          <t xml:space="preserve">Gas &amp; Convenience Stores</t>
        </is>
      </c>
      <c r="D525" s="3">
        <v>49.21</v>
      </c>
    </row>
    <row r="526">
      <c r="A526" s="4">
        <v>46287</v>
      </c>
      <c r="B526" s="2" t="inlineStr">
        <is>
          <t xml:space="preserve">7-Eleven Myrtle Beach SC</t>
        </is>
      </c>
      <c r="C526" s="2" t="inlineStr">
        <is>
          <t xml:space="preserve">Gas &amp; Convenience Stores</t>
        </is>
      </c>
      <c r="D526" s="3">
        <v>8.07</v>
      </c>
    </row>
    <row r="527">
      <c r="A527" s="4">
        <v>46288</v>
      </c>
      <c r="B527" s="2" t="inlineStr">
        <is>
          <t xml:space="preserve">Murphy 8572 Southport NC</t>
        </is>
      </c>
      <c r="C527" s="2" t="inlineStr">
        <is>
          <t xml:space="preserve">Gas &amp; Convenience Stores</t>
        </is>
      </c>
      <c r="D527" s="3">
        <v>66.51</v>
      </c>
    </row>
    <row r="528">
      <c r="A528" s="7"/>
      <c r="B528" s="7"/>
      <c r="C528" s="7" t="inlineStr">
        <is>
          <t xml:space="preserve">Subtotal – Gas &amp; Convenience Stores</t>
        </is>
      </c>
      <c r="D528" s="6">
        <f>SUM(D521:D527)</f>
        <v>238.98</v>
      </c>
    </row>
    <row r="529">
      <c r="A529" s="4">
        <v>46275</v>
      </c>
      <c r="B529" s="2" t="inlineStr">
        <is>
          <t xml:space="preserve">NC Quick Pass 877-769-7277 NC</t>
        </is>
      </c>
      <c r="C529" s="2" t="inlineStr">
        <is>
          <t xml:space="preserve">Tolls &amp; Parking</t>
        </is>
      </c>
      <c r="D529" s="3">
        <v>68.24</v>
      </c>
    </row>
    <row r="530">
      <c r="A530" s="7"/>
      <c r="B530" s="7"/>
      <c r="C530" s="7" t="inlineStr">
        <is>
          <t xml:space="preserve">Subtotal – Tolls &amp; Parking</t>
        </is>
      </c>
      <c r="D530" s="6">
        <f>SUM(D529:D529)</f>
        <v>68.24</v>
      </c>
    </row>
    <row r="531">
      <c r="A531" s="4">
        <v>46265</v>
      </c>
      <c r="B531" s="2" t="inlineStr">
        <is>
          <t xml:space="preserve">Google Youtubetv</t>
        </is>
      </c>
      <c r="C531" s="2" t="inlineStr">
        <is>
          <t xml:space="preserve">Streaming – YouTube TV (Google)</t>
        </is>
      </c>
      <c r="D531" s="3">
        <v>89.0</v>
      </c>
    </row>
    <row r="532">
      <c r="A532" s="4">
        <v>46279</v>
      </c>
      <c r="B532" s="2" t="inlineStr">
        <is>
          <t xml:space="preserve">Google Youtubetv N</t>
        </is>
      </c>
      <c r="C532" s="2" t="inlineStr">
        <is>
          <t xml:space="preserve">Streaming – YouTube TV (Google)</t>
        </is>
      </c>
      <c r="D532" s="3">
        <v>43.43</v>
      </c>
    </row>
    <row r="533">
      <c r="A533" s="7"/>
      <c r="B533" s="7"/>
      <c r="C533" s="7" t="inlineStr">
        <is>
          <t xml:space="preserve">Subtotal – Streaming – YouTube TV (Google)</t>
        </is>
      </c>
      <c r="D533" s="6">
        <f>SUM(D531:D532)</f>
        <v>132.43</v>
      </c>
    </row>
    <row r="534">
      <c r="A534" s="4">
        <v>46279</v>
      </c>
      <c r="B534" s="2" t="inlineStr">
        <is>
          <t xml:space="preserve">Disney Plus Ecom</t>
        </is>
      </c>
      <c r="C534" s="2" t="inlineStr">
        <is>
          <t xml:space="preserve">Streaming – ESPN (Sept billed as Disney Plus)</t>
        </is>
      </c>
      <c r="D534" s="3">
        <v>13.87</v>
      </c>
    </row>
    <row r="535">
      <c r="A535" s="7"/>
      <c r="B535" s="7"/>
      <c r="C535" s="7" t="inlineStr">
        <is>
          <t xml:space="preserve">Subtotal – Streaming – ESPN (Sept billed as Disney Plus)</t>
        </is>
      </c>
      <c r="D535" s="6">
        <f>SUM(D534:D534)</f>
        <v>13.87</v>
      </c>
    </row>
    <row r="536">
      <c r="A536" s="4">
        <v>46265</v>
      </c>
      <c r="B536" s="2" t="inlineStr">
        <is>
          <t xml:space="preserve">Roku for Disney El</t>
        </is>
      </c>
      <c r="C536" s="2" t="inlineStr">
        <is>
          <t xml:space="preserve">Streaming – Disney (via Roku)</t>
        </is>
      </c>
      <c r="D536" s="3">
        <v>20.27</v>
      </c>
    </row>
    <row r="537">
      <c r="A537" s="7"/>
      <c r="B537" s="7"/>
      <c r="C537" s="7" t="inlineStr">
        <is>
          <t xml:space="preserve">Subtotal – Streaming – Disney (via Roku)</t>
        </is>
      </c>
      <c r="D537" s="6">
        <f>SUM(D536:D536)</f>
        <v>20.27</v>
      </c>
    </row>
    <row r="538">
      <c r="A538" s="4">
        <v>46273</v>
      </c>
      <c r="B538" s="2" t="inlineStr">
        <is>
          <t xml:space="preserve">Frndlytv Inc*+ 1Ad</t>
        </is>
      </c>
      <c r="C538" s="2" t="inlineStr">
        <is>
          <t xml:space="preserve">Streaming – Frndly TV</t>
        </is>
      </c>
      <c r="D538" s="3">
        <v>22.41</v>
      </c>
    </row>
    <row r="539">
      <c r="A539" s="7"/>
      <c r="B539" s="7"/>
      <c r="C539" s="7" t="inlineStr">
        <is>
          <t xml:space="preserve">Subtotal – Streaming – Frndly TV</t>
        </is>
      </c>
      <c r="D539" s="6">
        <f>SUM(D538:D538)</f>
        <v>22.41</v>
      </c>
    </row>
    <row r="540">
      <c r="A540" s="4">
        <v>46275</v>
      </c>
      <c r="B540" s="2" t="inlineStr">
        <is>
          <t xml:space="preserve">Pt *Dosher Hospita</t>
        </is>
      </c>
      <c r="C540" s="2" t="inlineStr">
        <is>
          <t xml:space="preserve">Medical – Dosher Hospital (Southport)</t>
        </is>
      </c>
      <c r="D540" s="3">
        <v>100.28</v>
      </c>
    </row>
    <row r="541">
      <c r="A541" s="7"/>
      <c r="B541" s="7"/>
      <c r="C541" s="7" t="inlineStr">
        <is>
          <t xml:space="preserve">Subtotal – Medical – Dosher Hospital (Southport)</t>
        </is>
      </c>
      <c r="D541" s="6">
        <f>SUM(D540:D540)</f>
        <v>100.28</v>
      </c>
    </row>
    <row r="542">
      <c r="A542" s="4">
        <v>46265</v>
      </c>
      <c r="B542" s="2" t="inlineStr">
        <is>
          <t xml:space="preserve">Wilmington Eye 910-7633601</t>
        </is>
      </c>
      <c r="C542" s="2" t="inlineStr">
        <is>
          <t xml:space="preserve">Medical – Wilmington Eye</t>
        </is>
      </c>
      <c r="D542" s="3">
        <v>60.0</v>
      </c>
    </row>
    <row r="543">
      <c r="A543" s="7"/>
      <c r="B543" s="7"/>
      <c r="C543" s="7" t="inlineStr">
        <is>
          <t xml:space="preserve">Subtotal – Medical – Wilmington Eye</t>
        </is>
      </c>
      <c r="D543" s="6">
        <f>SUM(D542:D542)</f>
        <v>60.0</v>
      </c>
    </row>
    <row r="544">
      <c r="A544" s="4">
        <v>46280</v>
      </c>
      <c r="B544" s="2" t="inlineStr">
        <is>
          <t xml:space="preserve">Amk Duke South Wps Durham</t>
        </is>
      </c>
      <c r="C544" s="2" t="inlineStr">
        <is>
          <t xml:space="preserve">Medical – Duke Hospital (Durham, food &amp; parking)</t>
        </is>
      </c>
      <c r="D544" s="3">
        <v>8.75</v>
      </c>
    </row>
    <row r="545">
      <c r="A545" s="4">
        <v>46280</v>
      </c>
      <c r="B545" s="2" t="inlineStr">
        <is>
          <t xml:space="preserve">Duke Pkg I Durham NC</t>
        </is>
      </c>
      <c r="C545" s="2" t="inlineStr">
        <is>
          <t xml:space="preserve">Medical – Duke Hospital (Durham, food &amp; parking)</t>
        </is>
      </c>
      <c r="D545" s="3">
        <v>6.0</v>
      </c>
    </row>
    <row r="546">
      <c r="A546" s="7"/>
      <c r="B546" s="7"/>
      <c r="C546" s="7" t="inlineStr">
        <is>
          <t xml:space="preserve">Subtotal – Medical – Duke Hospital (Durham, food &amp; parking)</t>
        </is>
      </c>
      <c r="D546" s="6">
        <f>SUM(D544:D545)</f>
        <v>14.75</v>
      </c>
    </row>
    <row r="547">
      <c r="A547" s="4">
        <v>46269</v>
      </c>
      <c r="B547" s="2" t="inlineStr">
        <is>
          <t xml:space="preserve">The Color Bar Hair Southport NC</t>
        </is>
      </c>
      <c r="C547" s="2" t="inlineStr">
        <is>
          <t xml:space="preserve">Haircuts – The Color Bar</t>
        </is>
      </c>
      <c r="D547" s="3">
        <v>32.5</v>
      </c>
    </row>
    <row r="548">
      <c r="A548" s="7"/>
      <c r="B548" s="7"/>
      <c r="C548" s="7" t="inlineStr">
        <is>
          <t xml:space="preserve">Subtotal – Haircuts – The Color Bar</t>
        </is>
      </c>
      <c r="D548" s="6">
        <f>SUM(D547:D547)</f>
        <v>32.5</v>
      </c>
    </row>
    <row r="549">
      <c r="A549" s="4">
        <v>46268</v>
      </c>
      <c r="B549" s="2" t="inlineStr">
        <is>
          <t xml:space="preserve">Sq *Simple Beauty Southport NC</t>
        </is>
      </c>
      <c r="C549" s="2" t="inlineStr">
        <is>
          <t xml:space="preserve">Personal Care – Simple Beauty</t>
        </is>
      </c>
      <c r="D549" s="3">
        <v>82.0</v>
      </c>
    </row>
    <row r="550">
      <c r="A550" s="7"/>
      <c r="B550" s="7"/>
      <c r="C550" s="7" t="inlineStr">
        <is>
          <t xml:space="preserve">Subtotal – Personal Care – Simple Beauty</t>
        </is>
      </c>
      <c r="D550" s="6">
        <f>SUM(D549:D549)</f>
        <v>82.0</v>
      </c>
    </row>
    <row r="551">
      <c r="A551" s="4">
        <v>46265</v>
      </c>
      <c r="B551" s="2" t="inlineStr">
        <is>
          <t xml:space="preserve">Wal-Mart #2772 Southport NC</t>
        </is>
      </c>
      <c r="C551" s="2" t="inlineStr">
        <is>
          <t xml:space="preserve">Retail – Walmart</t>
        </is>
      </c>
      <c r="D551" s="3">
        <v>32.63</v>
      </c>
    </row>
    <row r="552">
      <c r="A552" s="7"/>
      <c r="B552" s="7"/>
      <c r="C552" s="7" t="inlineStr">
        <is>
          <t xml:space="preserve">Subtotal – Retail – Walmart</t>
        </is>
      </c>
      <c r="D552" s="6">
        <f>SUM(D551:D551)</f>
        <v>32.63</v>
      </c>
    </row>
    <row r="553">
      <c r="A553" s="4">
        <v>46280</v>
      </c>
      <c r="B553" s="2" t="inlineStr">
        <is>
          <t xml:space="preserve">Marshalls #1502 Shallotte NC</t>
        </is>
      </c>
      <c r="C553" s="2" t="inlineStr">
        <is>
          <t xml:space="preserve">Retail – Marshalls</t>
        </is>
      </c>
      <c r="D553" s="3">
        <v>41.59</v>
      </c>
    </row>
    <row r="554">
      <c r="A554" s="7"/>
      <c r="B554" s="7"/>
      <c r="C554" s="7" t="inlineStr">
        <is>
          <t xml:space="preserve">Subtotal – Retail – Marshalls</t>
        </is>
      </c>
      <c r="D554" s="6">
        <f>SUM(D553:D553)</f>
        <v>41.59</v>
      </c>
    </row>
    <row r="555">
      <c r="A555" s="4">
        <v>46282</v>
      </c>
      <c r="B555" s="2" t="inlineStr">
        <is>
          <t xml:space="preserve">Ross Store #2284 Shallotte NC</t>
        </is>
      </c>
      <c r="C555" s="2" t="inlineStr">
        <is>
          <t xml:space="preserve">Retail – Ross</t>
        </is>
      </c>
      <c r="D555" s="3">
        <v>16.32</v>
      </c>
    </row>
    <row r="556">
      <c r="A556" s="7"/>
      <c r="B556" s="7"/>
      <c r="C556" s="7" t="inlineStr">
        <is>
          <t xml:space="preserve">Subtotal – Retail – Ross</t>
        </is>
      </c>
      <c r="D556" s="6">
        <f>SUM(D555:D555)</f>
        <v>16.32</v>
      </c>
    </row>
    <row r="557">
      <c r="A557" s="4">
        <v>46280</v>
      </c>
      <c r="B557" s="2" t="inlineStr">
        <is>
          <t xml:space="preserve">Hobbylobby Shallotte NC</t>
        </is>
      </c>
      <c r="C557" s="2" t="inlineStr">
        <is>
          <t xml:space="preserve">Retail – Hobby Lobby</t>
        </is>
      </c>
      <c r="D557" s="3">
        <v>37.33</v>
      </c>
    </row>
    <row r="558">
      <c r="A558" s="7"/>
      <c r="B558" s="7"/>
      <c r="C558" s="7" t="inlineStr">
        <is>
          <t xml:space="preserve">Subtotal – Retail – Hobby Lobby</t>
        </is>
      </c>
      <c r="D558" s="6">
        <f>SUM(D557:D557)</f>
        <v>37.33</v>
      </c>
    </row>
    <row r="559">
      <c r="A559" s="4">
        <v>46275</v>
      </c>
      <c r="B559" s="2" t="inlineStr">
        <is>
          <t xml:space="preserve">Lowe's #682 Southport NC</t>
        </is>
      </c>
      <c r="C559" s="2" t="inlineStr">
        <is>
          <t xml:space="preserve">Retail – Lowe's (home improvement)</t>
        </is>
      </c>
      <c r="D559" s="3">
        <v>85.27</v>
      </c>
    </row>
    <row r="560">
      <c r="A560" s="7"/>
      <c r="B560" s="7"/>
      <c r="C560" s="7" t="inlineStr">
        <is>
          <t xml:space="preserve">Subtotal – Retail – Lowe's (home improvement)</t>
        </is>
      </c>
      <c r="D560" s="6">
        <f>SUM(D559:D559)</f>
        <v>85.27</v>
      </c>
    </row>
    <row r="561">
      <c r="A561" s="4">
        <v>46262</v>
      </c>
      <c r="B561" s="2" t="inlineStr">
        <is>
          <t xml:space="preserve">Cat on A Whisk 9104719377 NC</t>
        </is>
      </c>
      <c r="C561" s="2" t="inlineStr">
        <is>
          <t xml:space="preserve">Retail – Cat on a Whisk</t>
        </is>
      </c>
      <c r="D561" s="3">
        <v>24.51</v>
      </c>
    </row>
    <row r="562">
      <c r="A562" s="7"/>
      <c r="B562" s="7"/>
      <c r="C562" s="7" t="inlineStr">
        <is>
          <t xml:space="preserve">Subtotal – Retail – Cat on a Whisk</t>
        </is>
      </c>
      <c r="D562" s="6">
        <f>SUM(D561:D561)</f>
        <v>24.51</v>
      </c>
    </row>
    <row r="563">
      <c r="A563" s="4">
        <v>46273</v>
      </c>
      <c r="B563" s="2" t="inlineStr">
        <is>
          <t xml:space="preserve">Southport Spices Southport NC</t>
        </is>
      </c>
      <c r="C563" s="2" t="inlineStr">
        <is>
          <t xml:space="preserve">Retail – Local shops (Hippie Chick, Southport Spices, Mad River, Coastal Carolina)</t>
        </is>
      </c>
      <c r="D563" s="3">
        <v>59.99</v>
      </c>
    </row>
    <row r="564">
      <c r="A564" s="4">
        <v>46273</v>
      </c>
      <c r="B564" s="2" t="inlineStr">
        <is>
          <t xml:space="preserve">Sp Hippie Chick Gr</t>
        </is>
      </c>
      <c r="C564" s="2" t="inlineStr">
        <is>
          <t xml:space="preserve">Retail – Local shops (Hippie Chick, Southport Spices, Mad River, Coastal Carolina)</t>
        </is>
      </c>
      <c r="D564" s="3">
        <v>36.99</v>
      </c>
    </row>
    <row r="565">
      <c r="A565" s="4">
        <v>46287</v>
      </c>
      <c r="B565" s="2" t="inlineStr">
        <is>
          <t xml:space="preserve">Sp Hippie Chick Gr</t>
        </is>
      </c>
      <c r="C565" s="2" t="inlineStr">
        <is>
          <t xml:space="preserve">Retail – Local shops (Hippie Chick, Southport Spices, Mad River, Coastal Carolina)</t>
        </is>
      </c>
      <c r="D565" s="3">
        <v>22.99</v>
      </c>
    </row>
    <row r="566">
      <c r="A566" s="7"/>
      <c r="B566" s="7"/>
      <c r="C566" s="7" t="inlineStr">
        <is>
          <t xml:space="preserve">Subtotal – Retail – Local shops (Hippie Chick, Southport Spices, Mad River, Coastal Carolina)</t>
        </is>
      </c>
      <c r="D566" s="6">
        <f>SUM(D563:D565)</f>
        <v>119.97</v>
      </c>
    </row>
    <row r="567">
      <c r="A567" s="4">
        <v>46266</v>
      </c>
      <c r="B567" s="2" t="inlineStr">
        <is>
          <t xml:space="preserve">Autobks*Nextgen LA</t>
        </is>
      </c>
      <c r="C567" s="2" t="inlineStr">
        <is>
          <t xml:space="preserve">Yard Company (NextGen)</t>
        </is>
      </c>
      <c r="D567" s="3">
        <v>60.0</v>
      </c>
    </row>
    <row r="568">
      <c r="A568" s="4">
        <v>46280</v>
      </c>
      <c r="B568" s="2" t="inlineStr">
        <is>
          <t xml:space="preserve">Autobks*Nextgen LA</t>
        </is>
      </c>
      <c r="C568" s="2" t="inlineStr">
        <is>
          <t xml:space="preserve">Yard Company (NextGen)</t>
        </is>
      </c>
      <c r="D568" s="3">
        <v>60.0</v>
      </c>
    </row>
    <row r="569">
      <c r="A569" s="7"/>
      <c r="B569" s="7"/>
      <c r="C569" s="7" t="inlineStr">
        <is>
          <t xml:space="preserve">Subtotal – Yard Company (NextGen)</t>
        </is>
      </c>
      <c r="D569" s="6">
        <f>SUM(D567:D568)</f>
        <v>120.0</v>
      </c>
    </row>
    <row r="570">
      <c r="A570" s="4">
        <v>46273</v>
      </c>
      <c r="B570" s="2" t="inlineStr">
        <is>
          <t xml:space="preserve">Venmo *Mark Bickler</t>
        </is>
      </c>
      <c r="C570" s="2" t="inlineStr">
        <is>
          <t xml:space="preserve">Transfers to People (Venmo/Zelle)</t>
        </is>
      </c>
      <c r="D570" s="3">
        <v>130.0</v>
      </c>
    </row>
    <row r="571">
      <c r="A571" s="7"/>
      <c r="B571" s="7"/>
      <c r="C571" s="7" t="inlineStr">
        <is>
          <t xml:space="preserve">Subtotal – Transfers to People (Venmo/Zelle)</t>
        </is>
      </c>
      <c r="D571" s="6">
        <f>SUM(D570:D570)</f>
        <v>130.0</v>
      </c>
    </row>
    <row r="572">
      <c r="A572" s="4">
        <v>46279</v>
      </c>
      <c r="B572" s="2" t="inlineStr">
        <is>
          <t xml:space="preserve">Kiwanis Club of So Southport NC</t>
        </is>
      </c>
      <c r="C572" s="2" t="inlineStr">
        <is>
          <t xml:space="preserve">Donations &amp; Clubs (Kiwanis)</t>
        </is>
      </c>
      <c r="D572" s="3">
        <v>200.0</v>
      </c>
    </row>
    <row r="573">
      <c r="A573" s="7"/>
      <c r="B573" s="7"/>
      <c r="C573" s="7" t="inlineStr">
        <is>
          <t xml:space="preserve">Subtotal – Donations &amp; Clubs (Kiwanis)</t>
        </is>
      </c>
      <c r="D573" s="6">
        <f>SUM(D572:D572)</f>
        <v>200.0</v>
      </c>
    </row>
    <row r="574">
      <c r="A574" s="4">
        <v>46280</v>
      </c>
      <c r="B574" s="2" t="inlineStr">
        <is>
          <t xml:space="preserve">Non-WF ATM Withdrawal authorized on 09/15 5084 Southport</t>
        </is>
      </c>
      <c r="C574" s="2" t="inlineStr">
        <is>
          <t xml:space="preserve">Cash (ATM) &amp; Bank Fees</t>
        </is>
      </c>
      <c r="D574" s="3">
        <v>144.0</v>
      </c>
    </row>
    <row r="575">
      <c r="A575" s="4">
        <v>46280</v>
      </c>
      <c r="B575" s="2" t="inlineStr">
        <is>
          <t xml:space="preserve">Non-Wells Fargo ATM Transaction Fee</t>
        </is>
      </c>
      <c r="C575" s="2" t="inlineStr">
        <is>
          <t xml:space="preserve">Cash (ATM) &amp; Bank Fees</t>
        </is>
      </c>
      <c r="D575" s="3">
        <v>3.0</v>
      </c>
    </row>
    <row r="576">
      <c r="A576" s="7"/>
      <c r="B576" s="7"/>
      <c r="C576" s="7" t="inlineStr">
        <is>
          <t xml:space="preserve">Subtotal – Cash (ATM) &amp; Bank Fees</t>
        </is>
      </c>
      <c r="D576" s="6">
        <f>SUM(D574:D575)</f>
        <v>147.0</v>
      </c>
    </row>
    <row r="577">
      <c r="A577" s="8"/>
      <c r="B577" s="8"/>
      <c r="C577" s="8" t="inlineStr">
        <is>
          <t xml:space="preserve">TOTAL SPENDING – September 2026</t>
        </is>
      </c>
      <c r="D577" s="9">
        <f>D458+D460+D462+D464+D466+D468+D470+D472+D475+D477+D479+D481+D488+D493+D520+D528+D530+D533+D535+D537+D539+D541+D543+D546+D548+D550+D552+D554+D556+D558+D560+D562+D566+D569+D571+D573+D576</f>
        <v>11515.63</v>
      </c>
    </row>
    <row r="578">
      <c r="C578" s="12" t="inlineStr">
        <is>
          <t xml:space="preserve">Check vs. Monthly Summary (should be $0)</t>
        </is>
      </c>
      <c r="D578" s="3">
        <f>D577-'Monthly Summary'!E120</f>
        <v>0.0</v>
      </c>
    </row>
  </sheetData>
  <pageMargins left="0.5" right="0.5" top="0.6" bottom="0.6" header="0.3" footer="0.3"/>
  <pageSetup orientation="landscape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4" topLeftCell="A5" activePane="bottomLeft" state="frozen"/>
    </sheetView>
  </sheetViews>
  <sheetFormatPr defaultRowHeight="15"/>
  <cols>
    <col min="1" max="1" width="46" customWidth="1"/>
    <col min="2" max="2" width="13" customWidth="1"/>
    <col min="3" max="3" width="17" customWidth="1"/>
    <col min="4" max="4" width="14" customWidth="1"/>
    <col min="5" max="5" width="70" customWidth="1"/>
  </cols>
  <sheetData>
    <row r="1">
      <c r="A1" s="10" t="inlineStr">
        <is>
          <t xml:space="preserve">Why August Was Higher</t>
        </is>
      </c>
    </row>
    <row r="2">
      <c r="A2" s="14" t="inlineStr">
        <is>
          <t xml:space="preserve">August statement (7/24–8/25/26) compared with the average of the June, July and September statements. Sorted by largest increase.</t>
        </is>
      </c>
    </row>
    <row r="4" ht="30" customHeight="1">
      <c r="A4" s="15" t="inlineStr">
        <is>
          <t xml:space="preserve">Line item</t>
        </is>
      </c>
      <c r="B4" s="1" t="inlineStr">
        <is>
          <t xml:space="preserve">August</t>
        </is>
      </c>
      <c r="C4" s="1" t="inlineStr">
        <is>
          <t xml:space="preserve">Avg of Jun, Jul, Sep</t>
        </is>
      </c>
      <c r="D4" s="1" t="inlineStr">
        <is>
          <t xml:space="preserve">Difference</t>
        </is>
      </c>
      <c r="E4" s="15" t="inlineStr">
        <is>
          <t xml:space="preserve">What happened in August</t>
        </is>
      </c>
    </row>
    <row r="5">
      <c r="A5" s="12" t="inlineStr">
        <is>
          <t xml:space="preserve">Retail – Walmart</t>
        </is>
      </c>
      <c r="B5" s="3">
        <f>'Monthly Summary'!D79</f>
        <v>1732.6</v>
      </c>
      <c r="C5" s="3">
        <f>AVERAGE('Monthly Summary'!B79,'Monthly Summary'!C79,'Monthly Summary'!E79)</f>
        <v>55.096667</v>
      </c>
      <c r="D5" s="3">
        <f>B5-C5</f>
        <v>1677.503333</v>
      </c>
      <c r="E5" s="2" t="inlineStr">
        <is>
          <t xml:space="preserve">One large purchase of $1,461.90 on 7/31 (Southport). Aug charges: 7/31 $1,461.90; 8/10 $145.54; 8/20 $125.16</t>
        </is>
      </c>
    </row>
    <row r="6">
      <c r="A6" s="12" t="inlineStr">
        <is>
          <t xml:space="preserve">Medical – Dosher Hospital (Southport)</t>
        </is>
      </c>
      <c r="B6" s="3">
        <f>'Monthly Summary'!D67</f>
        <v>467.66</v>
      </c>
      <c r="C6" s="3">
        <f>AVERAGE('Monthly Summary'!B67,'Monthly Summary'!C67,'Monthly Summary'!E67)</f>
        <v>33.426667</v>
      </c>
      <c r="D6" s="3">
        <f>B6-C6</f>
        <v>434.233333</v>
      </c>
      <c r="E6" s="2" t="inlineStr">
        <is>
          <t xml:space="preserve">Aug charges: 7/29 $342.66; 8/14 $125.00</t>
        </is>
      </c>
    </row>
    <row r="7">
      <c r="A7" s="12" t="inlineStr">
        <is>
          <t xml:space="preserve">CVS Pharmacy</t>
        </is>
      </c>
      <c r="B7" s="3">
        <f>'Monthly Summary'!D66</f>
        <v>383.24</v>
      </c>
      <c r="C7" s="3">
        <f>AVERAGE('Monthly Summary'!B66,'Monthly Summary'!C66,'Monthly Summary'!E66)</f>
        <v>87.0</v>
      </c>
      <c r="D7" s="3">
        <f>B7-C7</f>
        <v>296.24</v>
      </c>
      <c r="E7" s="2" t="inlineStr">
        <is>
          <t xml:space="preserve">Aug charges: 7/31 $202.55; 8/6 $149.55; 8/19 $31.14</t>
        </is>
      </c>
    </row>
    <row r="8">
      <c r="A8" s="12" t="inlineStr">
        <is>
          <t xml:space="preserve">Health Insurance – Blue Cross NC</t>
        </is>
      </c>
      <c r="B8" s="3">
        <f>'Monthly Summary'!D16</f>
        <v>432.5</v>
      </c>
      <c r="C8" s="3">
        <f>AVERAGE('Monthly Summary'!B16,'Monthly Summary'!C16,'Monthly Summary'!E16)</f>
        <v>144.166667</v>
      </c>
      <c r="D8" s="3">
        <f>B8-C8</f>
        <v>288.333333</v>
      </c>
      <c r="E8" s="2" t="inlineStr">
        <is>
          <t xml:space="preserve">Two months paid in one charge; no Blue Cross payment fell in the July period. Aug charges: 7/29 $432.50</t>
        </is>
      </c>
    </row>
    <row r="9">
      <c r="A9" s="12" t="inlineStr">
        <is>
          <t xml:space="preserve">Retail – Dillard's</t>
        </is>
      </c>
      <c r="B9" s="3">
        <f>'Monthly Summary'!D83</f>
        <v>174.74</v>
      </c>
      <c r="C9" s="3">
        <f>AVERAGE('Monthly Summary'!B83,'Monthly Summary'!C83,'Monthly Summary'!E83)</f>
        <v>0.0</v>
      </c>
      <c r="D9" s="3">
        <f>B9-C9</f>
        <v>174.74</v>
      </c>
      <c r="E9" s="2" t="inlineStr">
        <is>
          <t xml:space="preserve">Aug charges: 8/14 $120.44; 8/24 $54.30</t>
        </is>
      </c>
    </row>
    <row r="10">
      <c r="A10" s="12" t="inlineStr">
        <is>
          <t xml:space="preserve">Grocery – Publix</t>
        </is>
      </c>
      <c r="B10" s="3">
        <f>'Monthly Summary'!D36</f>
        <v>522.68</v>
      </c>
      <c r="C10" s="3">
        <f>AVERAGE('Monthly Summary'!B36,'Monthly Summary'!C36,'Monthly Summary'!E36)</f>
        <v>360.93</v>
      </c>
      <c r="D10" s="3">
        <f>B10-C10</f>
        <v>161.75</v>
      </c>
      <c r="E10" s="2" t="inlineStr">
        <is>
          <t xml:space="preserve">Aug charges: 7/27 $85.70; 8/3 $239.44; 8/5 $15.39; 8/11 $182.15</t>
        </is>
      </c>
    </row>
    <row r="11">
      <c r="A11" s="12" t="inlineStr">
        <is>
          <t xml:space="preserve">Utility – Electric (BEMC)</t>
        </is>
      </c>
      <c r="B11" s="3">
        <f>'Monthly Summary'!D21</f>
        <v>406.96</v>
      </c>
      <c r="C11" s="3">
        <f>AVERAGE('Monthly Summary'!B21,'Monthly Summary'!C21,'Monthly Summary'!E21)</f>
        <v>252.003333</v>
      </c>
      <c r="D11" s="3">
        <f>B11-C11</f>
        <v>154.956667</v>
      </c>
      <c r="E11" s="2" t="inlineStr">
        <is>
          <t xml:space="preserve">No BEMC payment fell in the June period, so the other-month average is low. Aug charges: 7/29 $406.96</t>
        </is>
      </c>
    </row>
    <row r="12">
      <c r="A12" s="12" t="inlineStr">
        <is>
          <t xml:space="preserve">Retail – Hobby Lobby</t>
        </is>
      </c>
      <c r="B12" s="3">
        <f>'Monthly Summary'!D86</f>
        <v>165.67</v>
      </c>
      <c r="C12" s="3">
        <f>AVERAGE('Monthly Summary'!B86,'Monthly Summary'!C86,'Monthly Summary'!E86)</f>
        <v>12.443333</v>
      </c>
      <c r="D12" s="3">
        <f>B12-C12</f>
        <v>153.226667</v>
      </c>
      <c r="E12" s="2" t="inlineStr">
        <is>
          <t xml:space="preserve">Aug charges: 8/4 $20.66; 8/17 $145.01</t>
        </is>
      </c>
    </row>
    <row r="13">
      <c r="A13" s="12" t="inlineStr">
        <is>
          <t xml:space="preserve">Retail – Lowe's (home improvement)</t>
        </is>
      </c>
      <c r="B13" s="3">
        <f>'Monthly Summary'!D87</f>
        <v>171.55</v>
      </c>
      <c r="C13" s="3">
        <f>AVERAGE('Monthly Summary'!B87,'Monthly Summary'!C87,'Monthly Summary'!E87)</f>
        <v>37.646667</v>
      </c>
      <c r="D13" s="3">
        <f>B13-C13</f>
        <v>133.903333</v>
      </c>
      <c r="E13" s="2" t="inlineStr">
        <is>
          <t xml:space="preserve">Aug charges: 8/7 $171.55</t>
        </is>
      </c>
    </row>
    <row r="14">
      <c r="A14" s="12" t="inlineStr">
        <is>
          <t xml:space="preserve">Yard Company (NextGen)</t>
        </is>
      </c>
      <c r="B14" s="3">
        <f>'Monthly Summary'!D98</f>
        <v>220.0</v>
      </c>
      <c r="C14" s="3">
        <f>AVERAGE('Monthly Summary'!B98,'Monthly Summary'!C98,'Monthly Summary'!E98)</f>
        <v>93.333333</v>
      </c>
      <c r="D14" s="3">
        <f>B14-C14</f>
        <v>126.666667</v>
      </c>
      <c r="E14" s="2" t="inlineStr">
        <is>
          <t xml:space="preserve">Aug charges: 7/29 $100.00; 8/5 $60.00; 8/18 $60.00</t>
        </is>
      </c>
    </row>
    <row r="15">
      <c r="A15" s="12" t="inlineStr">
        <is>
          <t xml:space="preserve">Utility – Water/Sewer (Brunswick County)</t>
        </is>
      </c>
      <c r="B15" s="3">
        <f>'Monthly Summary'!D22</f>
        <v>179.33</v>
      </c>
      <c r="C15" s="3">
        <f>AVERAGE('Monthly Summary'!B22,'Monthly Summary'!C22,'Monthly Summary'!E22)</f>
        <v>54.366667</v>
      </c>
      <c r="D15" s="3">
        <f>B15-C15</f>
        <v>124.963333</v>
      </c>
      <c r="E15" s="2" t="inlineStr">
        <is>
          <t xml:space="preserve">Aug charges: 7/30 $91.83; 7/30 $2.95; 8/12 $81.60; 8/12 $2.95</t>
        </is>
      </c>
    </row>
    <row r="16">
      <c r="A16" s="12" t="inlineStr">
        <is>
          <t xml:space="preserve">Allstate Insurance</t>
        </is>
      </c>
      <c r="B16" s="3">
        <f>'Monthly Summary'!D13</f>
        <v>475.42</v>
      </c>
      <c r="C16" s="3">
        <f>AVERAGE('Monthly Summary'!B13,'Monthly Summary'!C13,'Monthly Summary'!E13)</f>
        <v>358.336667</v>
      </c>
      <c r="D16" s="3">
        <f>B16-C16</f>
        <v>117.083333</v>
      </c>
      <c r="E16" s="2" t="inlineStr">
        <is>
          <t xml:space="preserve">Extra $115 payment on 8/3 on top of the regular monthly draft. Aug charges: 8/3 $115.00; 8/20 $360.42</t>
        </is>
      </c>
    </row>
    <row r="17">
      <c r="A17" s="12" t="inlineStr">
        <is>
          <t xml:space="preserve">Haircuts – The Color Bar</t>
        </is>
      </c>
      <c r="B17" s="3">
        <f>'Monthly Summary'!D74</f>
        <v>182.5</v>
      </c>
      <c r="C17" s="3">
        <f>AVERAGE('Monthly Summary'!B74,'Monthly Summary'!C74,'Monthly Summary'!E74)</f>
        <v>71.666667</v>
      </c>
      <c r="D17" s="3">
        <f>B17-C17</f>
        <v>110.833333</v>
      </c>
      <c r="E17" s="2" t="inlineStr">
        <is>
          <t xml:space="preserve">Aug charges: 7/28 $32.50; 8/20 $150.00</t>
        </is>
      </c>
    </row>
    <row r="18">
      <c r="A18" s="12" t="inlineStr">
        <is>
          <t xml:space="preserve">Verizon Wireless</t>
        </is>
      </c>
      <c r="B18" s="3">
        <f>'Monthly Summary'!D27</f>
        <v>436.02</v>
      </c>
      <c r="C18" s="3">
        <f>AVERAGE('Monthly Summary'!B27,'Monthly Summary'!C27,'Monthly Summary'!E27)</f>
        <v>325.406667</v>
      </c>
      <c r="D18" s="3">
        <f>B18-C18</f>
        <v>110.613333</v>
      </c>
      <c r="E18" s="2" t="inlineStr">
        <is>
          <t xml:space="preserve">Higher bill than usual. Aug charges: 8/21 $436.02</t>
        </is>
      </c>
    </row>
    <row r="19">
      <c r="A19" s="12" t="inlineStr">
        <is>
          <t xml:space="preserve">Internet – Focus Broadband</t>
        </is>
      </c>
      <c r="B19" s="3">
        <f>'Monthly Summary'!D26</f>
        <v>161.58</v>
      </c>
      <c r="C19" s="3">
        <f>AVERAGE('Monthly Summary'!B26,'Monthly Summary'!C26,'Monthly Summary'!E26)</f>
        <v>53.86</v>
      </c>
      <c r="D19" s="3">
        <f>B19-C19</f>
        <v>107.72</v>
      </c>
      <c r="E19" s="2" t="inlineStr">
        <is>
          <t xml:space="preserve">Two monthly payments fell in this statement period. Aug charges: 7/29 $80.79; 8/10 $80.79</t>
        </is>
      </c>
    </row>
    <row r="20">
      <c r="A20" s="12" t="inlineStr">
        <is>
          <t xml:space="preserve">Retail – HomeSense</t>
        </is>
      </c>
      <c r="B20" s="3">
        <f>'Monthly Summary'!D85</f>
        <v>88.7</v>
      </c>
      <c r="C20" s="3">
        <f>AVERAGE('Monthly Summary'!B85,'Monthly Summary'!C85,'Monthly Summary'!E85)</f>
        <v>0.0</v>
      </c>
      <c r="D20" s="3">
        <f>B20-C20</f>
        <v>88.7</v>
      </c>
      <c r="E20" s="2" t="inlineStr">
        <is>
          <t xml:space="preserve">Aug charges: 8/14 $88.70</t>
        </is>
      </c>
    </row>
    <row r="21">
      <c r="A21" s="12" t="inlineStr">
        <is>
          <t xml:space="preserve">Home Services (Pest Control, Lawn Treatment)</t>
        </is>
      </c>
      <c r="B21" s="3">
        <f>'Monthly Summary'!D99</f>
        <v>104.0</v>
      </c>
      <c r="C21" s="3">
        <f>AVERAGE('Monthly Summary'!B99,'Monthly Summary'!C99,'Monthly Summary'!E99)</f>
        <v>47.35</v>
      </c>
      <c r="D21" s="3">
        <f>B21-C21</f>
        <v>56.65</v>
      </c>
      <c r="E21" s="2" t="inlineStr">
        <is>
          <t xml:space="preserve">Aug charges: 7/29 $104.00</t>
        </is>
      </c>
    </row>
    <row r="22">
      <c r="A22" s="12" t="inlineStr">
        <is>
          <t xml:space="preserve">Restaurants &amp; Takeout</t>
        </is>
      </c>
      <c r="B22" s="3">
        <f>'Monthly Summary'!D42</f>
        <v>962.62</v>
      </c>
      <c r="C22" s="3">
        <f>AVERAGE('Monthly Summary'!B42,'Monthly Summary'!C42,'Monthly Summary'!E42)</f>
        <v>922.896667</v>
      </c>
      <c r="D22" s="3">
        <f>B22-C22</f>
        <v>39.723333</v>
      </c>
      <c r="E22" s="2" t="inlineStr">
        <is>
          <t xml:space="preserve">Aug charges: 7/24 $54.00; 7/27 $44.55; 7/27 $28.23; 7/27 $9.60; 7/29 $49.73</t>
        </is>
      </c>
    </row>
    <row r="23">
      <c r="A23" s="12" t="inlineStr">
        <is>
          <t xml:space="preserve">Retail – Tractor Supply</t>
        </is>
      </c>
      <c r="B23" s="3">
        <f>'Monthly Summary'!D89</f>
        <v>29.86</v>
      </c>
      <c r="C23" s="3">
        <f>AVERAGE('Monthly Summary'!B89,'Monthly Summary'!C89,'Monthly Summary'!E89)</f>
        <v>0.0</v>
      </c>
      <c r="D23" s="3">
        <f>B23-C23</f>
        <v>29.86</v>
      </c>
      <c r="E23" s="2" t="inlineStr">
        <is>
          <t xml:space="preserve">Aug charges: 8/18 $29.86</t>
        </is>
      </c>
    </row>
    <row r="24">
      <c r="A24" s="12" t="inlineStr">
        <is>
          <t xml:space="preserve">Retail – Dollar Tree / Dollar General</t>
        </is>
      </c>
      <c r="B24" s="3">
        <f>'Monthly Summary'!D93</f>
        <v>17.35</v>
      </c>
      <c r="C24" s="3">
        <f>AVERAGE('Monthly Summary'!B93,'Monthly Summary'!C93,'Monthly Summary'!E93)</f>
        <v>1.956667</v>
      </c>
      <c r="D24" s="3">
        <f>B24-C24</f>
        <v>15.393333</v>
      </c>
      <c r="E24" s="2" t="inlineStr">
        <is>
          <t xml:space="preserve">Aug charges: 8/4 $17.35</t>
        </is>
      </c>
    </row>
    <row r="25">
      <c r="A25" s="12" t="inlineStr">
        <is>
          <t xml:space="preserve">Entertainment (Surf Cinema)</t>
        </is>
      </c>
      <c r="B25" s="3">
        <f>'Monthly Summary'!D108</f>
        <v>13.5</v>
      </c>
      <c r="C25" s="3">
        <f>AVERAGE('Monthly Summary'!B108,'Monthly Summary'!C108,'Monthly Summary'!E108)</f>
        <v>0.0</v>
      </c>
      <c r="D25" s="3">
        <f>B25-C25</f>
        <v>13.5</v>
      </c>
      <c r="E25" s="2" t="inlineStr">
        <is>
          <t xml:space="preserve">Aug charges: 8/10 $13.50</t>
        </is>
      </c>
    </row>
    <row r="26">
      <c r="A26" s="12" t="inlineStr">
        <is>
          <t xml:space="preserve">Streaming – Hulu</t>
        </is>
      </c>
      <c r="B26" s="3">
        <f>'Monthly Summary'!D55</f>
        <v>12.8</v>
      </c>
      <c r="C26" s="3">
        <f>AVERAGE('Monthly Summary'!B55,'Monthly Summary'!C55,'Monthly Summary'!E55)</f>
        <v>4.266667</v>
      </c>
      <c r="D26" s="3">
        <f>B26-C26</f>
        <v>8.533333</v>
      </c>
      <c r="E26" s="2" t="inlineStr">
        <is>
          <t xml:space="preserve">Aug charges: 7/27 $12.80</t>
        </is>
      </c>
    </row>
    <row r="27">
      <c r="A27" s="12" t="inlineStr">
        <is>
          <t xml:space="preserve">Transfers to People (Venmo/Zelle)</t>
        </is>
      </c>
      <c r="B27" s="3">
        <f>'Monthly Summary'!D112</f>
        <v>331.5</v>
      </c>
      <c r="C27" s="3">
        <f>AVERAGE('Monthly Summary'!B112,'Monthly Summary'!C112,'Monthly Summary'!E112)</f>
        <v>323.016667</v>
      </c>
      <c r="D27" s="3">
        <f>B27-C27</f>
        <v>8.483333</v>
      </c>
      <c r="E27" s="2" t="inlineStr">
        <is>
          <t xml:space="preserve">Aug charges: 8/7 $331.50</t>
        </is>
      </c>
    </row>
    <row r="28">
      <c r="A28" s="12" t="inlineStr">
        <is>
          <t xml:space="preserve">A&amp;D Mortgage</t>
        </is>
      </c>
      <c r="B28" s="3">
        <f>'Monthly Summary'!D7</f>
        <v>3411.1</v>
      </c>
      <c r="C28" s="3">
        <f>AVERAGE('Monthly Summary'!B7,'Monthly Summary'!C7,'Monthly Summary'!E7)</f>
        <v>3411.1</v>
      </c>
      <c r="D28" s="3">
        <f>B28-C28</f>
        <v>0.0</v>
      </c>
      <c r="E28" s="2" t="inlineStr">
        <is>
          <t xml:space="preserve">Aug charges: 8/17 $3,411.10</t>
        </is>
      </c>
    </row>
    <row r="29">
      <c r="A29" s="12" t="inlineStr">
        <is>
          <t xml:space="preserve">Banner Life Insurance</t>
        </is>
      </c>
      <c r="B29" s="3">
        <f>'Monthly Summary'!D15</f>
        <v>710.06</v>
      </c>
      <c r="C29" s="3">
        <f>AVERAGE('Monthly Summary'!B15,'Monthly Summary'!C15,'Monthly Summary'!E15)</f>
        <v>710.06</v>
      </c>
      <c r="D29" s="3">
        <f>B29-C29</f>
        <v>0.0</v>
      </c>
      <c r="E29" s="2" t="inlineStr">
        <is>
          <t xml:space="preserve">Aug charges: 8/10 $710.06</t>
        </is>
      </c>
    </row>
    <row r="30">
      <c r="A30" s="12" t="inlineStr">
        <is>
          <t xml:space="preserve">Dental Insurance – Delta Dental</t>
        </is>
      </c>
      <c r="B30" s="3">
        <f>'Monthly Summary'!D17</f>
        <v>69.36</v>
      </c>
      <c r="C30" s="3">
        <f>AVERAGE('Monthly Summary'!B17,'Monthly Summary'!C17,'Monthly Summary'!E17)</f>
        <v>69.36</v>
      </c>
      <c r="D30" s="3">
        <f>B30-C30</f>
        <v>0.0</v>
      </c>
      <c r="E30" s="2" t="inlineStr">
        <is>
          <t xml:space="preserve">Aug charges: 8/6 $69.36</t>
        </is>
      </c>
    </row>
    <row r="31">
      <c r="A31" s="12" t="inlineStr">
        <is>
          <t xml:space="preserve">Student Loan (Dept of Education)</t>
        </is>
      </c>
      <c r="B31" s="3">
        <f>'Monthly Summary'!D31</f>
        <v>160.37</v>
      </c>
      <c r="C31" s="3">
        <f>AVERAGE('Monthly Summary'!B31,'Monthly Summary'!C31,'Monthly Summary'!E31)</f>
        <v>160.37</v>
      </c>
      <c r="D31" s="3">
        <f>B31-C31</f>
        <v>0.0</v>
      </c>
      <c r="E31" s="2" t="inlineStr">
        <is>
          <t xml:space="preserve">Aug charges: 8/14 $160.37</t>
        </is>
      </c>
    </row>
    <row r="32">
      <c r="A32" s="12" t="inlineStr">
        <is>
          <t xml:space="preserve">Streaming – ESPN (Sept billed as Disney Plus)</t>
        </is>
      </c>
      <c r="B32" s="3">
        <f>'Monthly Summary'!D52</f>
        <v>13.87</v>
      </c>
      <c r="C32" s="3">
        <f>AVERAGE('Monthly Summary'!B52,'Monthly Summary'!C52,'Monthly Summary'!E52)</f>
        <v>13.87</v>
      </c>
      <c r="D32" s="3">
        <f>B32-C32</f>
        <v>0.0</v>
      </c>
      <c r="E32" s="2" t="inlineStr">
        <is>
          <t xml:space="preserve">Aug charges: 8/13 $13.87</t>
        </is>
      </c>
    </row>
    <row r="33">
      <c r="A33" s="12" t="inlineStr">
        <is>
          <t xml:space="preserve">Streaming – Disney (via Roku)</t>
        </is>
      </c>
      <c r="B33" s="3">
        <f>'Monthly Summary'!D53</f>
        <v>20.27</v>
      </c>
      <c r="C33" s="3">
        <f>AVERAGE('Monthly Summary'!B53,'Monthly Summary'!C53,'Monthly Summary'!E53)</f>
        <v>20.27</v>
      </c>
      <c r="D33" s="3">
        <f>B33-C33</f>
        <v>0.0</v>
      </c>
      <c r="E33" s="2" t="inlineStr">
        <is>
          <t xml:space="preserve">Aug charges: 7/29 $20.27</t>
        </is>
      </c>
    </row>
    <row r="34">
      <c r="A34" s="12" t="inlineStr">
        <is>
          <t xml:space="preserve">Streaming – Frndly TV</t>
        </is>
      </c>
      <c r="B34" s="3">
        <f>'Monthly Summary'!D57</f>
        <v>22.41</v>
      </c>
      <c r="C34" s="3">
        <f>AVERAGE('Monthly Summary'!B57,'Monthly Summary'!C57,'Monthly Summary'!E57)</f>
        <v>22.41</v>
      </c>
      <c r="D34" s="3">
        <f>B34-C34</f>
        <v>0.0</v>
      </c>
      <c r="E34" s="2" t="inlineStr">
        <is>
          <t xml:space="preserve">Aug charges: 8/5 $22.41</t>
        </is>
      </c>
    </row>
    <row r="35">
      <c r="A35" s="12" t="inlineStr">
        <is>
          <t xml:space="preserve">Life Insurance (Lincoln National)</t>
        </is>
      </c>
      <c r="B35" s="3">
        <f>'Monthly Summary'!D14</f>
        <v>73.61</v>
      </c>
      <c r="C35" s="3">
        <f>AVERAGE('Monthly Summary'!B14,'Monthly Summary'!C14,'Monthly Summary'!E14)</f>
        <v>75.476667</v>
      </c>
      <c r="D35" s="3">
        <f>B35-C35</f>
        <v>-1.866667</v>
      </c>
      <c r="E35" s="2" t="inlineStr">
        <is>
          <t xml:space="preserve">Aug charges: 8/18 $73.61</t>
        </is>
      </c>
    </row>
    <row r="36">
      <c r="A36" s="12" t="inlineStr">
        <is>
          <t xml:space="preserve">Medical – Duke Hospital (Durham, food &amp; parking)</t>
        </is>
      </c>
      <c r="B36" s="3">
        <f>'Monthly Summary'!D70</f>
        <v>0</v>
      </c>
      <c r="C36" s="3">
        <f>AVERAGE('Monthly Summary'!B70,'Monthly Summary'!C70,'Monthly Summary'!E70)</f>
        <v>4.916667</v>
      </c>
      <c r="D36" s="3">
        <f>B36-C36</f>
        <v>-4.916667</v>
      </c>
      <c r="E36" s="2" t="inlineStr">
        <is>
          <t xml:space="preserve"/>
        </is>
      </c>
    </row>
    <row r="37">
      <c r="A37" s="12" t="inlineStr">
        <is>
          <t xml:space="preserve">Tolls &amp; Parking</t>
        </is>
      </c>
      <c r="B37" s="3">
        <f>'Monthly Summary'!D47</f>
        <v>18.44</v>
      </c>
      <c r="C37" s="3">
        <f>AVERAGE('Monthly Summary'!B47,'Monthly Summary'!C47,'Monthly Summary'!E47)</f>
        <v>24.693333</v>
      </c>
      <c r="D37" s="3">
        <f>B37-C37</f>
        <v>-6.253333</v>
      </c>
      <c r="E37" s="2" t="inlineStr">
        <is>
          <t xml:space="preserve">Aug charges: 7/29 $11.84; 7/31 $1.60; 7/31 $5.00</t>
        </is>
      </c>
    </row>
    <row r="38">
      <c r="A38" s="12" t="inlineStr">
        <is>
          <t xml:space="preserve">Streaming – Peacock (via Roku)</t>
        </is>
      </c>
      <c r="B38" s="3">
        <f>'Monthly Summary'!D56</f>
        <v>0</v>
      </c>
      <c r="C38" s="3">
        <f>AVERAGE('Monthly Summary'!B56,'Monthly Summary'!C56,'Monthly Summary'!E56)</f>
        <v>7.82</v>
      </c>
      <c r="D38" s="3">
        <f>B38-C38</f>
        <v>-7.82</v>
      </c>
      <c r="E38" s="2" t="inlineStr">
        <is>
          <t xml:space="preserve"/>
        </is>
      </c>
    </row>
    <row r="39">
      <c r="A39" s="12" t="inlineStr">
        <is>
          <t xml:space="preserve">Retail – Cat on a Whisk</t>
        </is>
      </c>
      <c r="B39" s="3">
        <f>'Monthly Summary'!D88</f>
        <v>0</v>
      </c>
      <c r="C39" s="3">
        <f>AVERAGE('Monthly Summary'!B88,'Monthly Summary'!C88,'Monthly Summary'!E88)</f>
        <v>8.17</v>
      </c>
      <c r="D39" s="3">
        <f>B39-C39</f>
        <v>-8.17</v>
      </c>
      <c r="E39" s="2" t="inlineStr">
        <is>
          <t xml:space="preserve"/>
        </is>
      </c>
    </row>
    <row r="40">
      <c r="A40" s="12" t="inlineStr">
        <is>
          <t xml:space="preserve">Medical – Granville Medical Center (Oxford)</t>
        </is>
      </c>
      <c r="B40" s="3">
        <f>'Monthly Summary'!D69</f>
        <v>0</v>
      </c>
      <c r="C40" s="3">
        <f>AVERAGE('Monthly Summary'!B69,'Monthly Summary'!C69,'Monthly Summary'!E69)</f>
        <v>8.386667</v>
      </c>
      <c r="D40" s="3">
        <f>B40-C40</f>
        <v>-8.386667</v>
      </c>
      <c r="E40" s="2" t="inlineStr">
        <is>
          <t xml:space="preserve"/>
        </is>
      </c>
    </row>
    <row r="41">
      <c r="A41" s="12" t="inlineStr">
        <is>
          <t xml:space="preserve">St. James Marina</t>
        </is>
      </c>
      <c r="B41" s="3">
        <f>'Monthly Summary'!D107</f>
        <v>0</v>
      </c>
      <c r="C41" s="3">
        <f>AVERAGE('Monthly Summary'!B107,'Monthly Summary'!C107,'Monthly Summary'!E107)</f>
        <v>11.18</v>
      </c>
      <c r="D41" s="3">
        <f>B41-C41</f>
        <v>-11.18</v>
      </c>
      <c r="E41" s="2" t="inlineStr">
        <is>
          <t xml:space="preserve"/>
        </is>
      </c>
    </row>
    <row r="42">
      <c r="A42" s="12" t="inlineStr">
        <is>
          <t xml:space="preserve">Streaming – HBO Max</t>
        </is>
      </c>
      <c r="B42" s="3">
        <f>'Monthly Summary'!D54</f>
        <v>0</v>
      </c>
      <c r="C42" s="3">
        <f>AVERAGE('Monthly Summary'!B54,'Monthly Summary'!C54,'Monthly Summary'!E54)</f>
        <v>13.16</v>
      </c>
      <c r="D42" s="3">
        <f>B42-C42</f>
        <v>-13.16</v>
      </c>
      <c r="E42" s="2" t="inlineStr">
        <is>
          <t xml:space="preserve"/>
        </is>
      </c>
    </row>
    <row r="43">
      <c r="A43" s="12" t="inlineStr">
        <is>
          <t xml:space="preserve">Retail – Marshalls</t>
        </is>
      </c>
      <c r="B43" s="3">
        <f>'Monthly Summary'!D81</f>
        <v>0</v>
      </c>
      <c r="C43" s="3">
        <f>AVERAGE('Monthly Summary'!B81,'Monthly Summary'!C81,'Monthly Summary'!E81)</f>
        <v>13.863333</v>
      </c>
      <c r="D43" s="3">
        <f>B43-C43</f>
        <v>-13.863333</v>
      </c>
      <c r="E43" s="2" t="inlineStr">
        <is>
          <t xml:space="preserve"/>
        </is>
      </c>
    </row>
    <row r="44">
      <c r="A44" s="12" t="inlineStr">
        <is>
          <t xml:space="preserve">Retail – Bath &amp; Body Works</t>
        </is>
      </c>
      <c r="B44" s="3">
        <f>'Monthly Summary'!D92</f>
        <v>0</v>
      </c>
      <c r="C44" s="3">
        <f>AVERAGE('Monthly Summary'!B92,'Monthly Summary'!C92,'Monthly Summary'!E92)</f>
        <v>17.103333</v>
      </c>
      <c r="D44" s="3">
        <f>B44-C44</f>
        <v>-17.103333</v>
      </c>
      <c r="E44" s="2" t="inlineStr">
        <is>
          <t xml:space="preserve"/>
        </is>
      </c>
    </row>
    <row r="45">
      <c r="A45" s="12" t="inlineStr">
        <is>
          <t xml:space="preserve">Retail – Target</t>
        </is>
      </c>
      <c r="B45" s="3">
        <f>'Monthly Summary'!D84</f>
        <v>0</v>
      </c>
      <c r="C45" s="3">
        <f>AVERAGE('Monthly Summary'!B84,'Monthly Summary'!C84,'Monthly Summary'!E84)</f>
        <v>19.66</v>
      </c>
      <c r="D45" s="3">
        <f>B45-C45</f>
        <v>-19.66</v>
      </c>
      <c r="E45" s="2" t="inlineStr">
        <is>
          <t xml:space="preserve"/>
        </is>
      </c>
    </row>
    <row r="46">
      <c r="A46" s="12" t="inlineStr">
        <is>
          <t xml:space="preserve">Medical – Wilmington Eye</t>
        </is>
      </c>
      <c r="B46" s="3">
        <f>'Monthly Summary'!D68</f>
        <v>0</v>
      </c>
      <c r="C46" s="3">
        <f>AVERAGE('Monthly Summary'!B68,'Monthly Summary'!C68,'Monthly Summary'!E68)</f>
        <v>20.0</v>
      </c>
      <c r="D46" s="3">
        <f>B46-C46</f>
        <v>-20.0</v>
      </c>
      <c r="E46" s="2" t="inlineStr">
        <is>
          <t xml:space="preserve"/>
        </is>
      </c>
    </row>
    <row r="47">
      <c r="A47" s="12" t="inlineStr">
        <is>
          <t xml:space="preserve">Retail – Dick's Sporting Goods</t>
        </is>
      </c>
      <c r="B47" s="3">
        <f>'Monthly Summary'!D90</f>
        <v>0</v>
      </c>
      <c r="C47" s="3">
        <f>AVERAGE('Monthly Summary'!B90,'Monthly Summary'!C90,'Monthly Summary'!E90)</f>
        <v>21.203333</v>
      </c>
      <c r="D47" s="3">
        <f>B47-C47</f>
        <v>-21.203333</v>
      </c>
      <c r="E47" s="2" t="inlineStr">
        <is>
          <t xml:space="preserve"/>
        </is>
      </c>
    </row>
    <row r="48">
      <c r="A48" s="12" t="inlineStr">
        <is>
          <t xml:space="preserve">Retail – Ross</t>
        </is>
      </c>
      <c r="B48" s="3">
        <f>'Monthly Summary'!D82</f>
        <v>0</v>
      </c>
      <c r="C48" s="3">
        <f>AVERAGE('Monthly Summary'!B82,'Monthly Summary'!C82,'Monthly Summary'!E82)</f>
        <v>21.45</v>
      </c>
      <c r="D48" s="3">
        <f>B48-C48</f>
        <v>-21.45</v>
      </c>
      <c r="E48" s="2" t="inlineStr">
        <is>
          <t xml:space="preserve"/>
        </is>
      </c>
    </row>
    <row r="49">
      <c r="A49" s="12" t="inlineStr">
        <is>
          <t xml:space="preserve">Streaming – YouTube TV (Google)</t>
        </is>
      </c>
      <c r="B49" s="3">
        <f>'Monthly Summary'!D51</f>
        <v>89.0</v>
      </c>
      <c r="C49" s="3">
        <f>AVERAGE('Monthly Summary'!B51,'Monthly Summary'!C51,'Monthly Summary'!E51)</f>
        <v>111.33</v>
      </c>
      <c r="D49" s="3">
        <f>B49-C49</f>
        <v>-22.33</v>
      </c>
      <c r="E49" s="2" t="inlineStr">
        <is>
          <t xml:space="preserve">Aug charges: 7/29 $89.00</t>
        </is>
      </c>
    </row>
    <row r="50">
      <c r="A50" s="12" t="inlineStr">
        <is>
          <t xml:space="preserve">Personal Care – Simple Beauty</t>
        </is>
      </c>
      <c r="B50" s="3">
        <f>'Monthly Summary'!D75</f>
        <v>0</v>
      </c>
      <c r="C50" s="3">
        <f>AVERAGE('Monthly Summary'!B75,'Monthly Summary'!C75,'Monthly Summary'!E75)</f>
        <v>27.333333</v>
      </c>
      <c r="D50" s="3">
        <f>B50-C50</f>
        <v>-27.333333</v>
      </c>
      <c r="E50" s="2" t="inlineStr">
        <is>
          <t xml:space="preserve"/>
        </is>
      </c>
    </row>
    <row r="51">
      <c r="A51" s="12" t="inlineStr">
        <is>
          <t xml:space="preserve">Travel (Lyft, Hotel)</t>
        </is>
      </c>
      <c r="B51" s="3">
        <f>'Monthly Summary'!D103</f>
        <v>0</v>
      </c>
      <c r="C51" s="3">
        <f>AVERAGE('Monthly Summary'!B103,'Monthly Summary'!C103,'Monthly Summary'!E103)</f>
        <v>34.216667</v>
      </c>
      <c r="D51" s="3">
        <f>B51-C51</f>
        <v>-34.216667</v>
      </c>
      <c r="E51" s="2" t="inlineStr">
        <is>
          <t xml:space="preserve"/>
        </is>
      </c>
    </row>
    <row r="52">
      <c r="A52" s="12" t="inlineStr">
        <is>
          <t xml:space="preserve">Grocery – Food Lion</t>
        </is>
      </c>
      <c r="B52" s="3">
        <f>'Monthly Summary'!D37</f>
        <v>77.34</v>
      </c>
      <c r="C52" s="3">
        <f>AVERAGE('Monthly Summary'!B37,'Monthly Summary'!C37,'Monthly Summary'!E37)</f>
        <v>112.223333</v>
      </c>
      <c r="D52" s="3">
        <f>B52-C52</f>
        <v>-34.883333</v>
      </c>
      <c r="E52" s="2" t="inlineStr">
        <is>
          <t xml:space="preserve">Aug charges: 8/4 $77.34</t>
        </is>
      </c>
    </row>
    <row r="53">
      <c r="A53" s="12" t="inlineStr">
        <is>
          <t xml:space="preserve">Software &amp; Online Subscriptions</t>
        </is>
      </c>
      <c r="B53" s="3">
        <f>'Monthly Summary'!D62</f>
        <v>65.98</v>
      </c>
      <c r="C53" s="3">
        <f>AVERAGE('Monthly Summary'!B62,'Monthly Summary'!C62,'Monthly Summary'!E62)</f>
        <v>100.926667</v>
      </c>
      <c r="D53" s="3">
        <f>B53-C53</f>
        <v>-34.946667</v>
      </c>
      <c r="E53" s="2" t="inlineStr">
        <is>
          <t xml:space="preserve">Aug charges: 7/27 $2.99; 7/27 $20.00; 7/27 $20.00; 8/11 $20.00; 8/25 $2.99</t>
        </is>
      </c>
    </row>
    <row r="54">
      <c r="A54" s="12" t="inlineStr">
        <is>
          <t xml:space="preserve">Gas &amp; Convenience Stores</t>
        </is>
      </c>
      <c r="B54" s="3">
        <f>'Monthly Summary'!D46</f>
        <v>167.24</v>
      </c>
      <c r="C54" s="3">
        <f>AVERAGE('Monthly Summary'!B46,'Monthly Summary'!C46,'Monthly Summary'!E46)</f>
        <v>208.583333</v>
      </c>
      <c r="D54" s="3">
        <f>B54-C54</f>
        <v>-41.343333</v>
      </c>
      <c r="E54" s="2" t="inlineStr">
        <is>
          <t xml:space="preserve">Aug charges: 7/29 $4.06; 7/29 $47.80; 7/30 $6.78; 8/3 $9.47; 8/3 $46.23</t>
        </is>
      </c>
    </row>
    <row r="55">
      <c r="A55" s="12" t="inlineStr">
        <is>
          <t xml:space="preserve">Retail – Ulta Beauty</t>
        </is>
      </c>
      <c r="B55" s="3">
        <f>'Monthly Summary'!D91</f>
        <v>0</v>
      </c>
      <c r="C55" s="3">
        <f>AVERAGE('Monthly Summary'!B91,'Monthly Summary'!C91,'Monthly Summary'!E91)</f>
        <v>44.903333</v>
      </c>
      <c r="D55" s="3">
        <f>B55-C55</f>
        <v>-44.903333</v>
      </c>
      <c r="E55" s="2" t="inlineStr">
        <is>
          <t xml:space="preserve"/>
        </is>
      </c>
    </row>
    <row r="56">
      <c r="A56" s="12" t="inlineStr">
        <is>
          <t xml:space="preserve">Cash (ATM) &amp; Bank Fees</t>
        </is>
      </c>
      <c r="B56" s="3">
        <f>'Monthly Summary'!D117</f>
        <v>0</v>
      </c>
      <c r="C56" s="3">
        <f>AVERAGE('Monthly Summary'!B117,'Monthly Summary'!C117,'Monthly Summary'!E117)</f>
        <v>49.0</v>
      </c>
      <c r="D56" s="3">
        <f>B56-C56</f>
        <v>-49.0</v>
      </c>
      <c r="E56" s="2" t="inlineStr">
        <is>
          <t xml:space="preserve"/>
        </is>
      </c>
    </row>
    <row r="57">
      <c r="A57" s="12" t="inlineStr">
        <is>
          <t xml:space="preserve">Donations &amp; Clubs (Kiwanis)</t>
        </is>
      </c>
      <c r="B57" s="3">
        <f>'Monthly Summary'!D116</f>
        <v>0</v>
      </c>
      <c r="C57" s="3">
        <f>AVERAGE('Monthly Summary'!B116,'Monthly Summary'!C116,'Monthly Summary'!E116)</f>
        <v>66.666667</v>
      </c>
      <c r="D57" s="3">
        <f>B57-C57</f>
        <v>-66.666667</v>
      </c>
      <c r="E57" s="2" t="inlineStr">
        <is>
          <t xml:space="preserve"/>
        </is>
      </c>
    </row>
    <row r="58">
      <c r="A58" s="12" t="inlineStr">
        <is>
          <t xml:space="preserve">Retail – Local shops (Hippie Chick, Southport Spices, Mad River, Coastal Carolina)</t>
        </is>
      </c>
      <c r="B58" s="3">
        <f>'Monthly Summary'!D94</f>
        <v>0</v>
      </c>
      <c r="C58" s="3">
        <f>AVERAGE('Monthly Summary'!B94,'Monthly Summary'!C94,'Monthly Summary'!E94)</f>
        <v>76.0</v>
      </c>
      <c r="D58" s="3">
        <f>B58-C58</f>
        <v>-76.0</v>
      </c>
      <c r="E58" s="2" t="inlineStr">
        <is>
          <t xml:space="preserve"/>
        </is>
      </c>
    </row>
    <row r="59">
      <c r="A59" s="12" t="inlineStr">
        <is>
          <t xml:space="preserve">Other Food Stores (Harris Teeter, Beach Pantry)</t>
        </is>
      </c>
      <c r="B59" s="3">
        <f>'Monthly Summary'!D41</f>
        <v>5.85</v>
      </c>
      <c r="C59" s="3">
        <f>AVERAGE('Monthly Summary'!B41,'Monthly Summary'!C41,'Monthly Summary'!E41)</f>
        <v>87.783333</v>
      </c>
      <c r="D59" s="3">
        <f>B59-C59</f>
        <v>-81.933333</v>
      </c>
      <c r="E59" s="2" t="inlineStr">
        <is>
          <t xml:space="preserve">Aug charges: 7/29 $5.85</t>
        </is>
      </c>
    </row>
    <row r="60">
      <c r="A60" s="12" t="inlineStr">
        <is>
          <t xml:space="preserve">St. James Membership (Club)</t>
        </is>
      </c>
      <c r="B60" s="3">
        <f>'Monthly Summary'!D8</f>
        <v>1492.11</v>
      </c>
      <c r="C60" s="3">
        <f>AVERAGE('Monthly Summary'!B8,'Monthly Summary'!C8,'Monthly Summary'!E8)</f>
        <v>1653.446667</v>
      </c>
      <c r="D60" s="3">
        <f>B60-C60</f>
        <v>-161.336667</v>
      </c>
      <c r="E60" s="2" t="inlineStr">
        <is>
          <t xml:space="preserve">Smaller club bill than usual. Aug charges: 8/20 $1,492.11</t>
        </is>
      </c>
    </row>
    <row r="61">
      <c r="A61" s="12" t="inlineStr">
        <is>
          <t xml:space="preserve">Grocery – Lowes Foods</t>
        </is>
      </c>
      <c r="B61" s="3">
        <f>'Monthly Summary'!D35</f>
        <v>584.25</v>
      </c>
      <c r="C61" s="3">
        <f>AVERAGE('Monthly Summary'!B35,'Monthly Summary'!C35,'Monthly Summary'!E35)</f>
        <v>776.226667</v>
      </c>
      <c r="D61" s="3">
        <f>B61-C61</f>
        <v>-191.976667</v>
      </c>
      <c r="E61" s="2" t="inlineStr">
        <is>
          <t xml:space="preserve">Aug charges: 8/4 $63.82; 8/6 $60.15; 8/17 $6.49; 8/17 $10.99; 8/18 $275.25</t>
        </is>
      </c>
    </row>
    <row r="62">
      <c r="A62" s="12" t="inlineStr">
        <is>
          <t xml:space="preserve">St. James Plantation POA Dues</t>
        </is>
      </c>
      <c r="B62" s="3">
        <f>'Monthly Summary'!D9</f>
        <v>0</v>
      </c>
      <c r="C62" s="3">
        <f>AVERAGE('Monthly Summary'!B9,'Monthly Summary'!C9,'Monthly Summary'!E9)</f>
        <v>230.983333</v>
      </c>
      <c r="D62" s="3">
        <f>B62-C62</f>
        <v>-230.983333</v>
      </c>
      <c r="E62" s="2" t="inlineStr">
        <is>
          <t xml:space="preserve">POA dues were paid in June only</t>
        </is>
      </c>
    </row>
    <row r="63">
      <c r="A63" s="12" t="inlineStr">
        <is>
          <t xml:space="preserve">Retail – Belk (store card payments)</t>
        </is>
      </c>
      <c r="B63" s="3">
        <f>'Monthly Summary'!D80</f>
        <v>0</v>
      </c>
      <c r="C63" s="3">
        <f>AVERAGE('Monthly Summary'!B80,'Monthly Summary'!C80,'Monthly Summary'!E80)</f>
        <v>444.91</v>
      </c>
      <c r="D63" s="3">
        <f>B63-C63</f>
        <v>-444.91</v>
      </c>
      <c r="E63" s="2" t="inlineStr">
        <is>
          <t xml:space="preserve">No Belk payment in the August period</t>
        </is>
      </c>
    </row>
    <row r="64">
      <c r="A64" s="8" t="inlineStr">
        <is>
          <t xml:space="preserve">TOTAL SPENDING</t>
        </is>
      </c>
      <c r="B64" s="9">
        <f>SUM(B5:B63)</f>
        <v>14654.04</v>
      </c>
      <c r="C64" s="9">
        <f>SUM(C5:C63)</f>
        <v>11938.226667</v>
      </c>
      <c r="D64" s="9">
        <f>B64-C64</f>
        <v>2715.813333</v>
      </c>
      <c r="E64" s="8"/>
    </row>
    <row r="66">
      <c r="A66" s="5" t="inlineStr">
        <is>
          <t xml:space="preserve">Without the one-time $1,461.90 Walmart purchase (7/31)</t>
        </is>
      </c>
    </row>
    <row r="67">
      <c r="A67" s="12" t="inlineStr">
        <is>
          <t xml:space="preserve">Walmart purchase on 7/31</t>
        </is>
      </c>
      <c r="B67" s="13">
        <v>1461.9</v>
      </c>
    </row>
    <row r="68">
      <c r="A68" s="12" t="inlineStr">
        <is>
          <t xml:space="preserve">August spending without it</t>
        </is>
      </c>
      <c r="B68" s="3">
        <f>B64-B67</f>
        <v>13192.14</v>
      </c>
      <c r="C68" s="3">
        <f>C64</f>
        <v>11938.226667</v>
      </c>
      <c r="D68" s="3">
        <f>B68-C68</f>
        <v>1253.913333</v>
      </c>
    </row>
    <row r="70">
      <c r="A70" s="5" t="inlineStr">
        <is>
          <t xml:space="preserve">By category</t>
        </is>
      </c>
    </row>
    <row r="71">
      <c r="A71" s="15" t="inlineStr">
        <is>
          <t xml:space="preserve">Category</t>
        </is>
      </c>
      <c r="B71" s="1" t="inlineStr">
        <is>
          <t xml:space="preserve">August</t>
        </is>
      </c>
      <c r="C71" s="1" t="inlineStr">
        <is>
          <t xml:space="preserve">Avg of Jun, Jul, Sep</t>
        </is>
      </c>
      <c r="D71" s="1" t="inlineStr">
        <is>
          <t xml:space="preserve">Difference</t>
        </is>
      </c>
    </row>
    <row r="72">
      <c r="A72" s="12" t="inlineStr">
        <is>
          <t xml:space="preserve">Retail</t>
        </is>
      </c>
      <c r="B72" s="3">
        <f>'Monthly Summary'!D95</f>
        <v>2380.47</v>
      </c>
      <c r="C72" s="3">
        <f>AVERAGE('Monthly Summary'!B95,'Monthly Summary'!C95,'Monthly Summary'!E95)</f>
        <v>774.406667</v>
      </c>
      <c r="D72" s="3">
        <f>B72-C72</f>
        <v>1606.063333</v>
      </c>
    </row>
    <row r="73">
      <c r="A73" s="12" t="inlineStr">
        <is>
          <t xml:space="preserve">Health</t>
        </is>
      </c>
      <c r="B73" s="3">
        <f>'Monthly Summary'!D71</f>
        <v>850.9</v>
      </c>
      <c r="C73" s="3">
        <f>AVERAGE('Monthly Summary'!B71,'Monthly Summary'!C71,'Monthly Summary'!E71)</f>
        <v>153.73</v>
      </c>
      <c r="D73" s="3">
        <f>B73-C73</f>
        <v>697.17</v>
      </c>
    </row>
    <row r="74">
      <c r="A74" s="12" t="inlineStr">
        <is>
          <t xml:space="preserve">Insurance</t>
        </is>
      </c>
      <c r="B74" s="3">
        <f>'Monthly Summary'!D18</f>
        <v>1760.95</v>
      </c>
      <c r="C74" s="3">
        <f>AVERAGE('Monthly Summary'!B18,'Monthly Summary'!C18,'Monthly Summary'!E18)</f>
        <v>1357.4</v>
      </c>
      <c r="D74" s="3">
        <f>B74-C74</f>
        <v>403.55</v>
      </c>
    </row>
    <row r="75">
      <c r="A75" s="12" t="inlineStr">
        <is>
          <t xml:space="preserve">Utilities</t>
        </is>
      </c>
      <c r="B75" s="3">
        <f>'Monthly Summary'!D23</f>
        <v>586.29</v>
      </c>
      <c r="C75" s="3">
        <f>AVERAGE('Monthly Summary'!B23,'Monthly Summary'!C23,'Monthly Summary'!E23)</f>
        <v>306.37</v>
      </c>
      <c r="D75" s="3">
        <f>B75-C75</f>
        <v>279.92</v>
      </c>
    </row>
    <row r="76">
      <c r="A76" s="12" t="inlineStr">
        <is>
          <t xml:space="preserve">Phone &amp; Internet</t>
        </is>
      </c>
      <c r="B76" s="3">
        <f>'Monthly Summary'!D28</f>
        <v>597.6</v>
      </c>
      <c r="C76" s="3">
        <f>AVERAGE('Monthly Summary'!B28,'Monthly Summary'!C28,'Monthly Summary'!E28)</f>
        <v>379.266667</v>
      </c>
      <c r="D76" s="3">
        <f>B76-C76</f>
        <v>218.333333</v>
      </c>
    </row>
    <row r="77">
      <c r="A77" s="12" t="inlineStr">
        <is>
          <t xml:space="preserve">Home</t>
        </is>
      </c>
      <c r="B77" s="3">
        <f>'Monthly Summary'!D100</f>
        <v>324.0</v>
      </c>
      <c r="C77" s="3">
        <f>AVERAGE('Monthly Summary'!B100,'Monthly Summary'!C100,'Monthly Summary'!E100)</f>
        <v>140.683333</v>
      </c>
      <c r="D77" s="3">
        <f>B77-C77</f>
        <v>183.316667</v>
      </c>
    </row>
    <row r="78">
      <c r="A78" s="12" t="inlineStr">
        <is>
          <t xml:space="preserve">Personal</t>
        </is>
      </c>
      <c r="B78" s="3">
        <f>'Monthly Summary'!D76</f>
        <v>182.5</v>
      </c>
      <c r="C78" s="3">
        <f>AVERAGE('Monthly Summary'!B76,'Monthly Summary'!C76,'Monthly Summary'!E76)</f>
        <v>99.0</v>
      </c>
      <c r="D78" s="3">
        <f>B78-C78</f>
        <v>83.5</v>
      </c>
    </row>
    <row r="79">
      <c r="A79" s="12" t="inlineStr">
        <is>
          <t xml:space="preserve">Transfers</t>
        </is>
      </c>
      <c r="B79" s="3">
        <f>'Monthly Summary'!D113</f>
        <v>331.5</v>
      </c>
      <c r="C79" s="3">
        <f>AVERAGE('Monthly Summary'!B113,'Monthly Summary'!C113,'Monthly Summary'!E113)</f>
        <v>323.016667</v>
      </c>
      <c r="D79" s="3">
        <f>B79-C79</f>
        <v>8.483333</v>
      </c>
    </row>
    <row r="80">
      <c r="A80" s="12" t="inlineStr">
        <is>
          <t xml:space="preserve">Recreation</t>
        </is>
      </c>
      <c r="B80" s="3">
        <f>'Monthly Summary'!D109</f>
        <v>13.5</v>
      </c>
      <c r="C80" s="3">
        <f>AVERAGE('Monthly Summary'!B109,'Monthly Summary'!C109,'Monthly Summary'!E109)</f>
        <v>11.18</v>
      </c>
      <c r="D80" s="3">
        <f>B80-C80</f>
        <v>2.32</v>
      </c>
    </row>
    <row r="81">
      <c r="A81" s="12" t="inlineStr">
        <is>
          <t xml:space="preserve">Student Loan</t>
        </is>
      </c>
      <c r="B81" s="3">
        <f>'Monthly Summary'!D32</f>
        <v>160.37</v>
      </c>
      <c r="C81" s="3">
        <f>AVERAGE('Monthly Summary'!B32,'Monthly Summary'!C32,'Monthly Summary'!E32)</f>
        <v>160.37</v>
      </c>
      <c r="D81" s="3">
        <f>B81-C81</f>
        <v>0.0</v>
      </c>
    </row>
    <row r="82">
      <c r="A82" s="12" t="inlineStr">
        <is>
          <t xml:space="preserve">Travel</t>
        </is>
      </c>
      <c r="B82" s="3">
        <f>'Monthly Summary'!D104</f>
        <v>0</v>
      </c>
      <c r="C82" s="3">
        <f>AVERAGE('Monthly Summary'!B104,'Monthly Summary'!C104,'Monthly Summary'!E104)</f>
        <v>34.216667</v>
      </c>
      <c r="D82" s="3">
        <f>B82-C82</f>
        <v>-34.216667</v>
      </c>
    </row>
    <row r="83">
      <c r="A83" s="12" t="inlineStr">
        <is>
          <t xml:space="preserve">Streaming</t>
        </is>
      </c>
      <c r="B83" s="3">
        <f>'Monthly Summary'!D59</f>
        <v>158.35</v>
      </c>
      <c r="C83" s="3">
        <f>AVERAGE('Monthly Summary'!B59,'Monthly Summary'!C59,'Monthly Summary'!E59)</f>
        <v>193.126667</v>
      </c>
      <c r="D83" s="3">
        <f>B83-C83</f>
        <v>-34.776667</v>
      </c>
    </row>
    <row r="84">
      <c r="A84" s="12" t="inlineStr">
        <is>
          <t xml:space="preserve">Subscriptions</t>
        </is>
      </c>
      <c r="B84" s="3">
        <f>'Monthly Summary'!D63</f>
        <v>65.98</v>
      </c>
      <c r="C84" s="3">
        <f>AVERAGE('Monthly Summary'!B63,'Monthly Summary'!C63,'Monthly Summary'!E63)</f>
        <v>100.926667</v>
      </c>
      <c r="D84" s="3">
        <f>B84-C84</f>
        <v>-34.946667</v>
      </c>
    </row>
    <row r="85">
      <c r="A85" s="12" t="inlineStr">
        <is>
          <t xml:space="preserve">Food</t>
        </is>
      </c>
      <c r="B85" s="3">
        <f>'Monthly Summary'!D43</f>
        <v>968.47</v>
      </c>
      <c r="C85" s="3">
        <f>AVERAGE('Monthly Summary'!B43,'Monthly Summary'!C43,'Monthly Summary'!E43)</f>
        <v>1010.68</v>
      </c>
      <c r="D85" s="3">
        <f>B85-C85</f>
        <v>-42.21</v>
      </c>
    </row>
    <row r="86">
      <c r="A86" s="12" t="inlineStr">
        <is>
          <t xml:space="preserve">Transportation</t>
        </is>
      </c>
      <c r="B86" s="3">
        <f>'Monthly Summary'!D48</f>
        <v>185.68</v>
      </c>
      <c r="C86" s="3">
        <f>AVERAGE('Monthly Summary'!B48,'Monthly Summary'!C48,'Monthly Summary'!E48)</f>
        <v>233.276667</v>
      </c>
      <c r="D86" s="3">
        <f>B86-C86</f>
        <v>-47.596667</v>
      </c>
    </row>
    <row r="87">
      <c r="A87" s="12" t="inlineStr">
        <is>
          <t xml:space="preserve">Groceries</t>
        </is>
      </c>
      <c r="B87" s="3">
        <f>'Monthly Summary'!D38</f>
        <v>1184.27</v>
      </c>
      <c r="C87" s="3">
        <f>AVERAGE('Monthly Summary'!B38,'Monthly Summary'!C38,'Monthly Summary'!E38)</f>
        <v>1249.38</v>
      </c>
      <c r="D87" s="3">
        <f>B87-C87</f>
        <v>-65.11</v>
      </c>
    </row>
    <row r="88">
      <c r="A88" s="12" t="inlineStr">
        <is>
          <t xml:space="preserve">Other</t>
        </is>
      </c>
      <c r="B88" s="3">
        <f>'Monthly Summary'!D118</f>
        <v>0</v>
      </c>
      <c r="C88" s="3">
        <f>AVERAGE('Monthly Summary'!B118,'Monthly Summary'!C118,'Monthly Summary'!E118)</f>
        <v>115.666667</v>
      </c>
      <c r="D88" s="3">
        <f>B88-C88</f>
        <v>-115.666667</v>
      </c>
    </row>
    <row r="89">
      <c r="A89" s="12" t="inlineStr">
        <is>
          <t xml:space="preserve">Housing</t>
        </is>
      </c>
      <c r="B89" s="3">
        <f>'Monthly Summary'!D10</f>
        <v>4903.21</v>
      </c>
      <c r="C89" s="3">
        <f>AVERAGE('Monthly Summary'!B10,'Monthly Summary'!C10,'Monthly Summary'!E10)</f>
        <v>5295.53</v>
      </c>
      <c r="D89" s="3">
        <f>B89-C89</f>
        <v>-392.32</v>
      </c>
    </row>
    <row r="90">
      <c r="A90" s="8" t="inlineStr">
        <is>
          <t xml:space="preserve">TOTAL SPENDING</t>
        </is>
      </c>
      <c r="B90" s="9">
        <f>SUM(B72:B89)</f>
        <v>14654.04</v>
      </c>
      <c r="C90" s="9">
        <f>SUM(C72:C89)</f>
        <v>11938.226667</v>
      </c>
      <c r="D90" s="9">
        <f>B90-C90</f>
        <v>2715.813333</v>
      </c>
    </row>
  </sheetData>
  <pageMargins left="0.5" right="0.5" top="0.6" bottom="0.6" header="0.3" footer="0.3"/>
  <pageSetup orientation="landscape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5" topLeftCell="B6" activePane="bottomLeft" state="frozen"/>
    </sheetView>
  </sheetViews>
  <sheetFormatPr defaultRowHeight="15"/>
  <cols>
    <col min="1" max="1" width="46" customWidth="1"/>
    <col min="2" max="2" width="15" customWidth="1"/>
    <col min="3" max="3" width="15" customWidth="1"/>
    <col min="4" max="4" width="15" customWidth="1"/>
    <col min="5" max="5" width="15" customWidth="1"/>
    <col min="6" max="6" width="16" customWidth="1"/>
    <col min="7" max="7" width="15" customWidth="1"/>
  </cols>
  <sheetData>
    <row r="1">
      <c r="A1" s="10" t="inlineStr">
        <is>
          <t xml:space="preserve">Not Counted as Spending</t>
        </is>
      </c>
    </row>
    <row r="2">
      <c r="A2" s="14" t="inlineStr">
        <is>
          <t xml:space="preserve">Withdrawals left out of the spending totals at your request. Listed here so every dollar on the bank statements is accounted for.</t>
        </is>
      </c>
    </row>
    <row r="4" ht="18" customHeight="1">
      <c r="A4" s="15" t="inlineStr">
        <is>
          <t xml:space="preserve">Item</t>
        </is>
      </c>
      <c r="B4" s="1" t="inlineStr">
        <is>
          <t xml:space="preserve">June 2026</t>
        </is>
      </c>
      <c r="C4" s="1" t="inlineStr">
        <is>
          <t xml:space="preserve">July 2026</t>
        </is>
      </c>
      <c r="D4" s="1" t="inlineStr">
        <is>
          <t xml:space="preserve">August 2026</t>
        </is>
      </c>
      <c r="E4" s="1" t="inlineStr">
        <is>
          <t xml:space="preserve">September 2026</t>
        </is>
      </c>
      <c r="F4" s="1" t="inlineStr">
        <is>
          <t xml:space="preserve">4-Month Total</t>
        </is>
      </c>
      <c r="G4" s="1" t="inlineStr">
        <is>
          <t xml:space="preserve">Monthly Avg</t>
        </is>
      </c>
    </row>
    <row r="5">
      <c r="A5" s="16" t="inlineStr">
        <is>
          <t xml:space="preserve">Statement period</t>
        </is>
      </c>
      <c r="B5" s="16" t="inlineStr">
        <is>
          <t xml:space="preserve">5/27–6/24/26</t>
        </is>
      </c>
      <c r="C5" s="16" t="inlineStr">
        <is>
          <t xml:space="preserve">6/25–7/23/26</t>
        </is>
      </c>
      <c r="D5" s="16" t="inlineStr">
        <is>
          <t xml:space="preserve">7/24–8/25/26</t>
        </is>
      </c>
      <c r="E5" s="16" t="inlineStr">
        <is>
          <t xml:space="preserve">8/26–9/24/26</t>
        </is>
      </c>
    </row>
    <row r="6">
      <c r="A6" s="5" t="inlineStr">
        <is>
          <t xml:space="preserve">Not counted as spending</t>
        </is>
      </c>
    </row>
    <row r="7">
      <c r="A7" s="12" t="inlineStr">
        <is>
          <t xml:space="preserve">WTW Health Premium (reimbursed by Via Benefits)</t>
        </is>
      </c>
      <c r="B7" s="3">
        <f>SUMIFS('All Transactions'!$F$5:$F$436,'All Transactions'!$D$5:$D$436,$A7,'All Transactions'!$A$5:$A$436,B$4)</f>
        <v>2576.0</v>
      </c>
      <c r="C7" s="3">
        <f>SUMIFS('All Transactions'!$F$5:$F$436,'All Transactions'!$D$5:$D$436,$A7,'All Transactions'!$A$5:$A$436,C$4)</f>
        <v>2576.0</v>
      </c>
      <c r="D7" s="3">
        <f>SUMIFS('All Transactions'!$F$5:$F$436,'All Transactions'!$D$5:$D$436,$A7,'All Transactions'!$A$5:$A$436,D$4)</f>
        <v>2576.0</v>
      </c>
      <c r="E7" s="3">
        <f>SUMIFS('All Transactions'!$F$5:$F$436,'All Transactions'!$D$5:$D$436,$A7,'All Transactions'!$A$5:$A$436,E$4)</f>
        <v>2576.0</v>
      </c>
      <c r="F7" s="3">
        <f>SUM(B7:E7)</f>
        <v>10304.0</v>
      </c>
      <c r="G7" s="3">
        <f>F7/4</f>
        <v>2576.0</v>
      </c>
    </row>
    <row r="8">
      <c r="A8" s="12" t="inlineStr">
        <is>
          <t xml:space="preserve">Credit Card Payoff – American Express</t>
        </is>
      </c>
      <c r="B8" s="3">
        <f>SUMIFS('All Transactions'!$F$5:$F$436,'All Transactions'!$D$5:$D$436,$A8,'All Transactions'!$A$5:$A$436,B$4)</f>
        <v>0</v>
      </c>
      <c r="C8" s="3">
        <f>SUMIFS('All Transactions'!$F$5:$F$436,'All Transactions'!$D$5:$D$436,$A8,'All Transactions'!$A$5:$A$436,C$4)</f>
        <v>7227.09</v>
      </c>
      <c r="D8" s="3">
        <f>SUMIFS('All Transactions'!$F$5:$F$436,'All Transactions'!$D$5:$D$436,$A8,'All Transactions'!$A$5:$A$436,D$4)</f>
        <v>4593.08</v>
      </c>
      <c r="E8" s="3">
        <f>SUMIFS('All Transactions'!$F$5:$F$436,'All Transactions'!$D$5:$D$436,$A8,'All Transactions'!$A$5:$A$436,E$4)</f>
        <v>4738.51</v>
      </c>
      <c r="F8" s="3">
        <f>SUM(B8:E8)</f>
        <v>16558.68</v>
      </c>
      <c r="G8" s="3">
        <f>F8/4</f>
        <v>4139.67</v>
      </c>
    </row>
    <row r="9">
      <c r="A9" s="12" t="inlineStr">
        <is>
          <t xml:space="preserve">Sloane Realty</t>
        </is>
      </c>
      <c r="B9" s="3">
        <f>SUMIFS('All Transactions'!$F$5:$F$436,'All Transactions'!$D$5:$D$436,$A9,'All Transactions'!$A$5:$A$436,B$4)</f>
        <v>0</v>
      </c>
      <c r="C9" s="3">
        <f>SUMIFS('All Transactions'!$F$5:$F$436,'All Transactions'!$D$5:$D$436,$A9,'All Transactions'!$A$5:$A$436,C$4)</f>
        <v>2891.98</v>
      </c>
      <c r="D9" s="3">
        <f>SUMIFS('All Transactions'!$F$5:$F$436,'All Transactions'!$D$5:$D$436,$A9,'All Transactions'!$A$5:$A$436,D$4)</f>
        <v>0</v>
      </c>
      <c r="E9" s="3">
        <f>SUMIFS('All Transactions'!$F$5:$F$436,'All Transactions'!$D$5:$D$436,$A9,'All Transactions'!$A$5:$A$436,E$4)</f>
        <v>0</v>
      </c>
      <c r="F9" s="3">
        <f>SUM(B9:E9)</f>
        <v>2891.98</v>
      </c>
      <c r="G9" s="3">
        <f>F9/4</f>
        <v>722.995</v>
      </c>
    </row>
    <row r="10">
      <c r="A10" s="12" t="inlineStr">
        <is>
          <t xml:space="preserve">Dust and Mop House</t>
        </is>
      </c>
      <c r="B10" s="3">
        <f>SUMIFS('All Transactions'!$F$5:$F$436,'All Transactions'!$D$5:$D$436,$A10,'All Transactions'!$A$5:$A$436,B$4)</f>
        <v>0</v>
      </c>
      <c r="C10" s="3">
        <f>SUMIFS('All Transactions'!$F$5:$F$436,'All Transactions'!$D$5:$D$436,$A10,'All Transactions'!$A$5:$A$436,C$4)</f>
        <v>100.0</v>
      </c>
      <c r="D10" s="3">
        <f>SUMIFS('All Transactions'!$F$5:$F$436,'All Transactions'!$D$5:$D$436,$A10,'All Transactions'!$A$5:$A$436,D$4)</f>
        <v>432.6</v>
      </c>
      <c r="E10" s="3">
        <f>SUMIFS('All Transactions'!$F$5:$F$436,'All Transactions'!$D$5:$D$436,$A10,'All Transactions'!$A$5:$A$436,E$4)</f>
        <v>0</v>
      </c>
      <c r="F10" s="3">
        <f>SUM(B10:E10)</f>
        <v>532.6</v>
      </c>
      <c r="G10" s="3">
        <f>F10/4</f>
        <v>133.15</v>
      </c>
    </row>
    <row r="11">
      <c r="A11" s="12" t="inlineStr">
        <is>
          <t xml:space="preserve">Bowery West</t>
        </is>
      </c>
      <c r="B11" s="3">
        <f>SUMIFS('All Transactions'!$F$5:$F$436,'All Transactions'!$D$5:$D$436,$A11,'All Transactions'!$A$5:$A$436,B$4)</f>
        <v>0</v>
      </c>
      <c r="C11" s="3">
        <f>SUMIFS('All Transactions'!$F$5:$F$436,'All Transactions'!$D$5:$D$436,$A11,'All Transactions'!$A$5:$A$436,C$4)</f>
        <v>400.0</v>
      </c>
      <c r="D11" s="3">
        <f>SUMIFS('All Transactions'!$F$5:$F$436,'All Transactions'!$D$5:$D$436,$A11,'All Transactions'!$A$5:$A$436,D$4)</f>
        <v>0</v>
      </c>
      <c r="E11" s="3">
        <f>SUMIFS('All Transactions'!$F$5:$F$436,'All Transactions'!$D$5:$D$436,$A11,'All Transactions'!$A$5:$A$436,E$4)</f>
        <v>0</v>
      </c>
      <c r="F11" s="3">
        <f>SUM(B11:E11)</f>
        <v>400.0</v>
      </c>
      <c r="G11" s="3">
        <f>F11/4</f>
        <v>100.0</v>
      </c>
    </row>
    <row r="12">
      <c r="A12" s="12" t="inlineStr">
        <is>
          <t xml:space="preserve">Checks Written (payee not shown)</t>
        </is>
      </c>
      <c r="B12" s="3">
        <f>SUMIFS('All Transactions'!$F$5:$F$436,'All Transactions'!$D$5:$D$436,$A12,'All Transactions'!$A$5:$A$436,B$4)</f>
        <v>2630.0</v>
      </c>
      <c r="C12" s="3">
        <f>SUMIFS('All Transactions'!$F$5:$F$436,'All Transactions'!$D$5:$D$436,$A12,'All Transactions'!$A$5:$A$436,C$4)</f>
        <v>0</v>
      </c>
      <c r="D12" s="3">
        <f>SUMIFS('All Transactions'!$F$5:$F$436,'All Transactions'!$D$5:$D$436,$A12,'All Transactions'!$A$5:$A$436,D$4)</f>
        <v>728.0</v>
      </c>
      <c r="E12" s="3">
        <f>SUMIFS('All Transactions'!$F$5:$F$436,'All Transactions'!$D$5:$D$436,$A12,'All Transactions'!$A$5:$A$436,E$4)</f>
        <v>0</v>
      </c>
      <c r="F12" s="3">
        <f>SUM(B12:E12)</f>
        <v>3358.0</v>
      </c>
      <c r="G12" s="3">
        <f>F12/4</f>
        <v>839.5</v>
      </c>
    </row>
    <row r="13">
      <c r="A13" s="12" t="inlineStr">
        <is>
          <t xml:space="preserve">Transfer to Own WF Account</t>
        </is>
      </c>
      <c r="B13" s="3">
        <f>SUMIFS('All Transactions'!$F$5:$F$436,'All Transactions'!$D$5:$D$436,$A13,'All Transactions'!$A$5:$A$436,B$4)</f>
        <v>0</v>
      </c>
      <c r="C13" s="3">
        <f>SUMIFS('All Transactions'!$F$5:$F$436,'All Transactions'!$D$5:$D$436,$A13,'All Transactions'!$A$5:$A$436,C$4)</f>
        <v>3.26</v>
      </c>
      <c r="D13" s="3">
        <f>SUMIFS('All Transactions'!$F$5:$F$436,'All Transactions'!$D$5:$D$436,$A13,'All Transactions'!$A$5:$A$436,D$4)</f>
        <v>0</v>
      </c>
      <c r="E13" s="3">
        <f>SUMIFS('All Transactions'!$F$5:$F$436,'All Transactions'!$D$5:$D$436,$A13,'All Transactions'!$A$5:$A$436,E$4)</f>
        <v>0</v>
      </c>
      <c r="F13" s="3">
        <f>SUM(B13:E13)</f>
        <v>3.26</v>
      </c>
      <c r="G13" s="3">
        <f>F13/4</f>
        <v>0.815</v>
      </c>
    </row>
    <row r="14">
      <c r="A14" s="7" t="inlineStr">
        <is>
          <t xml:space="preserve">Total not counted as spending</t>
        </is>
      </c>
      <c r="B14" s="6">
        <f>SUM(B7:B13)</f>
        <v>5206.0</v>
      </c>
      <c r="C14" s="6">
        <f>SUM(C7:C13)</f>
        <v>13198.33</v>
      </c>
      <c r="D14" s="6">
        <f>SUM(D7:D13)</f>
        <v>8329.68</v>
      </c>
      <c r="E14" s="6">
        <f>SUM(E7:E13)</f>
        <v>7314.51</v>
      </c>
      <c r="F14" s="6">
        <f>SUM(F7:F13)</f>
        <v>34048.52</v>
      </c>
      <c r="G14" s="6">
        <f>F14/4</f>
        <v>8512.13</v>
      </c>
    </row>
    <row r="16">
      <c r="A16" s="5" t="inlineStr">
        <is>
          <t xml:space="preserve">Reconciliation to bank statements</t>
        </is>
      </c>
    </row>
    <row r="17">
      <c r="A17" s="12" t="inlineStr">
        <is>
          <t xml:space="preserve">Total spending (from Monthly Summary)</t>
        </is>
      </c>
      <c r="B17" s="3">
        <f>'Monthly Summary'!B120</f>
        <v>12135.81</v>
      </c>
      <c r="C17" s="3">
        <f>'Monthly Summary'!C120</f>
        <v>12163.24</v>
      </c>
      <c r="D17" s="3">
        <f>'Monthly Summary'!D120</f>
        <v>14654.04</v>
      </c>
      <c r="E17" s="3">
        <f>'Monthly Summary'!E120</f>
        <v>11515.63</v>
      </c>
      <c r="F17" s="3">
        <f>'Monthly Summary'!F120</f>
        <v>50468.72</v>
      </c>
    </row>
    <row r="18">
      <c r="A18" s="12" t="inlineStr">
        <is>
          <t xml:space="preserve">Plus: not counted as spending</t>
        </is>
      </c>
      <c r="B18" s="3">
        <f>B14</f>
        <v>5206.0</v>
      </c>
      <c r="C18" s="3">
        <f>C14</f>
        <v>13198.33</v>
      </c>
      <c r="D18" s="3">
        <f>D14</f>
        <v>8329.68</v>
      </c>
      <c r="E18" s="3">
        <f>E14</f>
        <v>7314.51</v>
      </c>
      <c r="F18" s="3">
        <f>F14</f>
        <v>34048.52</v>
      </c>
    </row>
    <row r="19">
      <c r="A19" s="7" t="inlineStr">
        <is>
          <t xml:space="preserve">Total withdrawals</t>
        </is>
      </c>
      <c r="B19" s="6">
        <f>B17+B18</f>
        <v>17341.81</v>
      </c>
      <c r="C19" s="6">
        <f>C17+C18</f>
        <v>25361.57</v>
      </c>
      <c r="D19" s="6">
        <f>D17+D18</f>
        <v>22983.72</v>
      </c>
      <c r="E19" s="6">
        <f>E17+E18</f>
        <v>18830.14</v>
      </c>
      <c r="F19" s="6">
        <f>F17+F18</f>
        <v>84517.24</v>
      </c>
    </row>
    <row r="20">
      <c r="A20" s="12" t="inlineStr">
        <is>
          <t xml:space="preserve">Withdrawals/Subtractions per bank statement</t>
        </is>
      </c>
      <c r="B20" s="13">
        <v>17341.81</v>
      </c>
      <c r="C20" s="13">
        <v>25361.57</v>
      </c>
      <c r="D20" s="13">
        <v>22983.72</v>
      </c>
      <c r="E20" s="13">
        <v>18830.14</v>
      </c>
      <c r="F20" s="3">
        <f>SUM(B20:E20)</f>
        <v>84517.24</v>
      </c>
    </row>
    <row r="21">
      <c r="A21" s="12" t="inlineStr">
        <is>
          <t xml:space="preserve">Difference (should be $0)</t>
        </is>
      </c>
      <c r="B21" s="3">
        <f>B19-B20</f>
        <v>0.0</v>
      </c>
      <c r="C21" s="3">
        <f>C19-C20</f>
        <v>0.0</v>
      </c>
      <c r="D21" s="3">
        <f>D19-D20</f>
        <v>0.0</v>
      </c>
      <c r="E21" s="3">
        <f>E19-E20</f>
        <v>0.0</v>
      </c>
      <c r="F21" s="3">
        <f>F19-F20</f>
        <v>0.0</v>
      </c>
    </row>
    <row r="24">
      <c r="A24" s="5" t="inlineStr">
        <is>
          <t xml:space="preserve">Every excluded transaction</t>
        </is>
      </c>
    </row>
    <row r="25">
      <c r="A25" s="15" t="inlineStr">
        <is>
          <t xml:space="preserve">Description</t>
        </is>
      </c>
      <c r="B25" s="1" t="inlineStr">
        <is>
          <t xml:space="preserve">Date</t>
        </is>
      </c>
      <c r="C25" s="1" t="inlineStr">
        <is>
          <t xml:space="preserve">Month</t>
        </is>
      </c>
      <c r="D25" s="1" t="inlineStr">
        <is>
          <t xml:space="preserve">Amount</t>
        </is>
      </c>
    </row>
    <row r="26">
      <c r="A26" s="12" t="inlineStr">
        <is>
          <t xml:space="preserve">Bowery West: Rps*Bowery West CD</t>
        </is>
      </c>
      <c r="B26" s="4">
        <v>46224</v>
      </c>
      <c r="C26" s="2" t="inlineStr">
        <is>
          <t xml:space="preserve">July 2026</t>
        </is>
      </c>
      <c r="D26" s="3">
        <v>75.0</v>
      </c>
    </row>
    <row r="27">
      <c r="A27" s="12" t="inlineStr">
        <is>
          <t xml:space="preserve">Bowery West: Rps*Bowery West CD</t>
        </is>
      </c>
      <c r="B27" s="4">
        <v>46224</v>
      </c>
      <c r="C27" s="2" t="inlineStr">
        <is>
          <t xml:space="preserve">July 2026</t>
        </is>
      </c>
      <c r="D27" s="3">
        <v>125.0</v>
      </c>
    </row>
    <row r="28">
      <c r="A28" s="12" t="inlineStr">
        <is>
          <t xml:space="preserve">Bowery West: Rps*Bowery West CD</t>
        </is>
      </c>
      <c r="B28" s="4">
        <v>46224</v>
      </c>
      <c r="C28" s="2" t="inlineStr">
        <is>
          <t xml:space="preserve">July 2026</t>
        </is>
      </c>
      <c r="D28" s="3">
        <v>75.0</v>
      </c>
    </row>
    <row r="29">
      <c r="A29" s="12" t="inlineStr">
        <is>
          <t xml:space="preserve">Bowery West: Rps*Bowery West CD</t>
        </is>
      </c>
      <c r="B29" s="4">
        <v>46224</v>
      </c>
      <c r="C29" s="2" t="inlineStr">
        <is>
          <t xml:space="preserve">July 2026</t>
        </is>
      </c>
      <c r="D29" s="3">
        <v>125.0</v>
      </c>
    </row>
    <row r="30">
      <c r="A30" s="12" t="inlineStr">
        <is>
          <t xml:space="preserve">Checks Written (payee not shown): Check #520</t>
        </is>
      </c>
      <c r="B30" s="4">
        <v>46174</v>
      </c>
      <c r="C30" s="2" t="inlineStr">
        <is>
          <t xml:space="preserve">June 2026</t>
        </is>
      </c>
      <c r="D30" s="3">
        <v>1800.0</v>
      </c>
    </row>
    <row r="31">
      <c r="A31" s="12" t="inlineStr">
        <is>
          <t xml:space="preserve">Checks Written (payee not shown): Check #101</t>
        </is>
      </c>
      <c r="B31" s="4">
        <v>46178</v>
      </c>
      <c r="C31" s="2" t="inlineStr">
        <is>
          <t xml:space="preserve">June 2026</t>
        </is>
      </c>
      <c r="D31" s="3">
        <v>830.0</v>
      </c>
    </row>
    <row r="32">
      <c r="A32" s="12" t="inlineStr">
        <is>
          <t xml:space="preserve">Checks Written (payee not shown): Check #102</t>
        </is>
      </c>
      <c r="B32" s="4">
        <v>46239</v>
      </c>
      <c r="C32" s="2" t="inlineStr">
        <is>
          <t xml:space="preserve">August 2026</t>
        </is>
      </c>
      <c r="D32" s="3">
        <v>378.0</v>
      </c>
    </row>
    <row r="33">
      <c r="A33" s="12" t="inlineStr">
        <is>
          <t xml:space="preserve">Checks Written (payee not shown): Check #518</t>
        </is>
      </c>
      <c r="B33" s="4">
        <v>46245</v>
      </c>
      <c r="C33" s="2" t="inlineStr">
        <is>
          <t xml:space="preserve">August 2026</t>
        </is>
      </c>
      <c r="D33" s="3">
        <v>150.0</v>
      </c>
    </row>
    <row r="34">
      <c r="A34" s="12" t="inlineStr">
        <is>
          <t xml:space="preserve">Checks Written (payee not shown): Check #103</t>
        </is>
      </c>
      <c r="B34" s="4">
        <v>46252</v>
      </c>
      <c r="C34" s="2" t="inlineStr">
        <is>
          <t xml:space="preserve">August 2026</t>
        </is>
      </c>
      <c r="D34" s="3">
        <v>200.0</v>
      </c>
    </row>
    <row r="35">
      <c r="A35" s="12" t="inlineStr">
        <is>
          <t xml:space="preserve">Credit Card Payoff – American Express: American Express ACH Pmt W8716</t>
        </is>
      </c>
      <c r="B35" s="4">
        <v>46199</v>
      </c>
      <c r="C35" s="2" t="inlineStr">
        <is>
          <t xml:space="preserve">July 2026</t>
        </is>
      </c>
      <c r="D35" s="3">
        <v>226.19</v>
      </c>
    </row>
    <row r="36">
      <c r="A36" s="12" t="inlineStr">
        <is>
          <t xml:space="preserve">Credit Card Payoff – American Express: American Express ACH Pmt W8252</t>
        </is>
      </c>
      <c r="B36" s="4">
        <v>46199</v>
      </c>
      <c r="C36" s="2" t="inlineStr">
        <is>
          <t xml:space="preserve">July 2026</t>
        </is>
      </c>
      <c r="D36" s="3">
        <v>4000.9</v>
      </c>
    </row>
    <row r="37">
      <c r="A37" s="12" t="inlineStr">
        <is>
          <t xml:space="preserve">Credit Card Payoff – American Express: American Express ACH Pmt W9322</t>
        </is>
      </c>
      <c r="B37" s="4">
        <v>46209</v>
      </c>
      <c r="C37" s="2" t="inlineStr">
        <is>
          <t xml:space="preserve">July 2026</t>
        </is>
      </c>
      <c r="D37" s="3">
        <v>2000.0</v>
      </c>
    </row>
    <row r="38">
      <c r="A38" s="12" t="inlineStr">
        <is>
          <t xml:space="preserve">Credit Card Payoff – American Express: American Express ACH Pmt W3522</t>
        </is>
      </c>
      <c r="B38" s="4">
        <v>46220</v>
      </c>
      <c r="C38" s="2" t="inlineStr">
        <is>
          <t xml:space="preserve">July 2026</t>
        </is>
      </c>
      <c r="D38" s="3">
        <v>1000.0</v>
      </c>
    </row>
    <row r="39">
      <c r="A39" s="12" t="inlineStr">
        <is>
          <t xml:space="preserve">Credit Card Payoff – American Express: American Express ACH Pmt W9082</t>
        </is>
      </c>
      <c r="B39" s="4">
        <v>46230</v>
      </c>
      <c r="C39" s="2" t="inlineStr">
        <is>
          <t xml:space="preserve">August 2026</t>
        </is>
      </c>
      <c r="D39" s="3">
        <v>3929.91</v>
      </c>
    </row>
    <row r="40">
      <c r="A40" s="12" t="inlineStr">
        <is>
          <t xml:space="preserve">Credit Card Payoff – American Express: American Express ACH Pmt W6914</t>
        </is>
      </c>
      <c r="B40" s="4">
        <v>46253</v>
      </c>
      <c r="C40" s="2" t="inlineStr">
        <is>
          <t xml:space="preserve">August 2026</t>
        </is>
      </c>
      <c r="D40" s="3">
        <v>663.17</v>
      </c>
    </row>
    <row r="41">
      <c r="A41" s="12" t="inlineStr">
        <is>
          <t xml:space="preserve">Credit Card Payoff – American Express: American Express ACH Pmt W0072</t>
        </is>
      </c>
      <c r="B41" s="4">
        <v>46286</v>
      </c>
      <c r="C41" s="2" t="inlineStr">
        <is>
          <t xml:space="preserve">September 2026</t>
        </is>
      </c>
      <c r="D41" s="3">
        <v>4738.51</v>
      </c>
    </row>
    <row r="42">
      <c r="A42" s="12" t="inlineStr">
        <is>
          <t xml:space="preserve">Dust and Mop House: Dust and Mop House</t>
        </is>
      </c>
      <c r="B42" s="4">
        <v>46226</v>
      </c>
      <c r="C42" s="2" t="inlineStr">
        <is>
          <t xml:space="preserve">July 2026</t>
        </is>
      </c>
      <c r="D42" s="3">
        <v>100.0</v>
      </c>
    </row>
    <row r="43">
      <c r="A43" s="12" t="inlineStr">
        <is>
          <t xml:space="preserve">Dust and Mop House: Dust and Mop House</t>
        </is>
      </c>
      <c r="B43" s="4">
        <v>46239</v>
      </c>
      <c r="C43" s="2" t="inlineStr">
        <is>
          <t xml:space="preserve">August 2026</t>
        </is>
      </c>
      <c r="D43" s="3">
        <v>432.6</v>
      </c>
    </row>
    <row r="44">
      <c r="A44" s="12" t="inlineStr">
        <is>
          <t xml:space="preserve">Sloane Realty: Vtg*Sloane Realty 910-5796216</t>
        </is>
      </c>
      <c r="B44" s="4">
        <v>46225</v>
      </c>
      <c r="C44" s="2" t="inlineStr">
        <is>
          <t xml:space="preserve">July 2026</t>
        </is>
      </c>
      <c r="D44" s="3">
        <v>2891.98</v>
      </c>
    </row>
    <row r="45">
      <c r="A45" s="12" t="inlineStr">
        <is>
          <t xml:space="preserve">Transfer to Own WF Account: Online Transfer to Dempsey M Wells Fargo Clear Access</t>
        </is>
      </c>
      <c r="B45" s="4">
        <v>46199</v>
      </c>
      <c r="C45" s="2" t="inlineStr">
        <is>
          <t xml:space="preserve">July 2026</t>
        </is>
      </c>
      <c r="D45" s="3">
        <v>3.26</v>
      </c>
    </row>
    <row r="46">
      <c r="A46" s="12" t="inlineStr">
        <is>
          <t xml:space="preserve">WTW Health Premium (reimbursed by Via Benefits): Wtw Ccc Tccc 2026Jun</t>
        </is>
      </c>
      <c r="B46" s="4">
        <v>46181</v>
      </c>
      <c r="C46" s="2" t="inlineStr">
        <is>
          <t xml:space="preserve">June 2026</t>
        </is>
      </c>
      <c r="D46" s="3">
        <v>2576.0</v>
      </c>
    </row>
    <row r="47">
      <c r="A47" s="12" t="inlineStr">
        <is>
          <t xml:space="preserve">WTW Health Premium (reimbursed by Via Benefits): Wtw Ccc Tccc 2026Jul</t>
        </is>
      </c>
      <c r="B47" s="4">
        <v>46210</v>
      </c>
      <c r="C47" s="2" t="inlineStr">
        <is>
          <t xml:space="preserve">July 2026</t>
        </is>
      </c>
      <c r="D47" s="3">
        <v>2576.0</v>
      </c>
    </row>
    <row r="48">
      <c r="A48" s="12" t="inlineStr">
        <is>
          <t xml:space="preserve">WTW Health Premium (reimbursed by Via Benefits): Wtw Ccc Tccc 2026Aug</t>
        </is>
      </c>
      <c r="B48" s="4">
        <v>46240</v>
      </c>
      <c r="C48" s="2" t="inlineStr">
        <is>
          <t xml:space="preserve">August 2026</t>
        </is>
      </c>
      <c r="D48" s="3">
        <v>2576.0</v>
      </c>
    </row>
    <row r="49">
      <c r="A49" s="12" t="inlineStr">
        <is>
          <t xml:space="preserve">WTW Health Premium (reimbursed by Via Benefits): Wtw Ccc Tccc 2026SEP</t>
        </is>
      </c>
      <c r="B49" s="4">
        <v>46274</v>
      </c>
      <c r="C49" s="2" t="inlineStr">
        <is>
          <t xml:space="preserve">September 2026</t>
        </is>
      </c>
      <c r="D49" s="3">
        <v>2576.0</v>
      </c>
    </row>
    <row r="50">
      <c r="A50" s="8" t="inlineStr">
        <is>
          <t xml:space="preserve">Total</t>
        </is>
      </c>
      <c r="B50" s="8"/>
      <c r="C50" s="8"/>
      <c r="D50" s="9">
        <f>SUM(D26:D49)</f>
        <v>34048.52</v>
      </c>
    </row>
  </sheetData>
  <pageMargins left="0.5" right="0.5" top="0.6" bottom="0.6" header="0.3" footer="0.3"/>
  <pageSetup orientation="landscape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3" topLeftCell="A4" activePane="bottomLeft" state="frozen"/>
    </sheetView>
  </sheetViews>
  <sheetFormatPr defaultRowHeight="15"/>
  <cols>
    <col min="1" max="1" width="11" customWidth="1"/>
    <col min="2" max="2" width="50" customWidth="1"/>
    <col min="3" max="3" width="38" customWidth="1"/>
    <col min="4" max="4" width="16" customWidth="1"/>
    <col min="5" max="5" width="13" customWidth="1"/>
    <col min="6" max="6" width="3" customWidth="1"/>
    <col min="7" max="7" width="40" customWidth="1"/>
    <col min="8" max="8" width="14" customWidth="1"/>
  </cols>
  <sheetData>
    <row r="1">
      <c r="A1" s="10" t="inlineStr">
        <is>
          <t xml:space="preserve">June 2026 Spending — statement period 5/27–6/24/26</t>
        </is>
      </c>
    </row>
    <row r="3">
      <c r="A3" s="1" t="inlineStr">
        <is>
          <t xml:space="preserve">Date</t>
        </is>
      </c>
      <c r="B3" s="15" t="inlineStr">
        <is>
          <t xml:space="preserve">Description</t>
        </is>
      </c>
      <c r="C3" s="1" t="inlineStr">
        <is>
          <t xml:space="preserve">Category</t>
        </is>
      </c>
      <c r="D3" s="1" t="inlineStr">
        <is>
          <t xml:space="preserve">Group</t>
        </is>
      </c>
      <c r="E3" s="1" t="inlineStr">
        <is>
          <t xml:space="preserve">Amount</t>
        </is>
      </c>
      <c r="G3" s="15" t="inlineStr">
        <is>
          <t xml:space="preserve">Category subtotals (this month)</t>
        </is>
      </c>
      <c r="H3" s="1" t="inlineStr">
        <is>
          <t xml:space="preserve">Amount</t>
        </is>
      </c>
    </row>
    <row r="4">
      <c r="A4" s="4">
        <v>46169</v>
      </c>
      <c r="B4" s="2" t="inlineStr">
        <is>
          <t xml:space="preserve">Aci*Blue Cross NC Durham NC</t>
        </is>
      </c>
      <c r="C4" s="2" t="inlineStr">
        <is>
          <t xml:space="preserve">Health Insurance – Blue Cross NC</t>
        </is>
      </c>
      <c r="D4" s="2" t="inlineStr">
        <is>
          <t xml:space="preserve">Insurance</t>
        </is>
      </c>
      <c r="E4" s="3">
        <v>216.25</v>
      </c>
      <c r="G4" s="2" t="inlineStr">
        <is>
          <t xml:space="preserve">A&amp;D Mortgage</t>
        </is>
      </c>
      <c r="H4" s="3">
        <f>SUMIF($C$4:$C$119,G4,$E$4:$E$119)</f>
        <v>3411.1</v>
      </c>
    </row>
    <row r="5">
      <c r="A5" s="4">
        <v>46169</v>
      </c>
      <c r="B5" s="2" t="inlineStr">
        <is>
          <t xml:space="preserve">Chipotle 4232 Conway SC</t>
        </is>
      </c>
      <c r="C5" s="2" t="inlineStr">
        <is>
          <t xml:space="preserve">Restaurants &amp; Takeout</t>
        </is>
      </c>
      <c r="D5" s="2" t="inlineStr">
        <is>
          <t xml:space="preserve">Food</t>
        </is>
      </c>
      <c r="E5" s="3">
        <v>24.53</v>
      </c>
      <c r="G5" s="2" t="inlineStr">
        <is>
          <t xml:space="preserve">St. James Membership (Club)</t>
        </is>
      </c>
      <c r="H5" s="3">
        <f>SUMIF($C$4:$C$119,G5,$E$4:$E$119)</f>
        <v>1591.78</v>
      </c>
    </row>
    <row r="6">
      <c r="A6" s="4">
        <v>46170</v>
      </c>
      <c r="B6" s="2" t="inlineStr">
        <is>
          <t xml:space="preserve">Chick-Fil-A #04769 Shallotte NC</t>
        </is>
      </c>
      <c r="C6" s="2" t="inlineStr">
        <is>
          <t xml:space="preserve">Restaurants &amp; Takeout</t>
        </is>
      </c>
      <c r="D6" s="2" t="inlineStr">
        <is>
          <t xml:space="preserve">Food</t>
        </is>
      </c>
      <c r="E6" s="3">
        <v>11.2</v>
      </c>
      <c r="G6" s="2" t="inlineStr">
        <is>
          <t xml:space="preserve">Grocery – Lowes Foods</t>
        </is>
      </c>
      <c r="H6" s="3">
        <f>SUMIF($C$4:$C$119,G6,$E$4:$E$119)</f>
        <v>1145.69</v>
      </c>
    </row>
    <row r="7">
      <c r="A7" s="4">
        <v>46170</v>
      </c>
      <c r="B7" s="2" t="inlineStr">
        <is>
          <t xml:space="preserve">Dairy Queen #15351 Supply NC</t>
        </is>
      </c>
      <c r="C7" s="2" t="inlineStr">
        <is>
          <t xml:space="preserve">Restaurants &amp; Takeout</t>
        </is>
      </c>
      <c r="D7" s="2" t="inlineStr">
        <is>
          <t xml:space="preserve">Food</t>
        </is>
      </c>
      <c r="E7" s="3">
        <v>7.35</v>
      </c>
      <c r="G7" s="2" t="inlineStr">
        <is>
          <t xml:space="preserve">Restaurants &amp; Takeout</t>
        </is>
      </c>
      <c r="H7" s="3">
        <f>SUMIF($C$4:$C$119,G7,$E$4:$E$119)</f>
        <v>1019.45</v>
      </c>
    </row>
    <row r="8">
      <c r="A8" s="4">
        <v>46170</v>
      </c>
      <c r="B8" s="2" t="inlineStr">
        <is>
          <t xml:space="preserve">Belk Syf Paymnt May 28 604583156390724 Dempseyleigh</t>
        </is>
      </c>
      <c r="C8" s="2" t="inlineStr">
        <is>
          <t xml:space="preserve">Retail – Belk (store card payments)</t>
        </is>
      </c>
      <c r="D8" s="2" t="inlineStr">
        <is>
          <t xml:space="preserve">Retail</t>
        </is>
      </c>
      <c r="E8" s="3">
        <v>386.69</v>
      </c>
      <c r="G8" s="2" t="inlineStr">
        <is>
          <t xml:space="preserve">Banner Life Insurance</t>
        </is>
      </c>
      <c r="H8" s="3">
        <f>SUMIF($C$4:$C$119,G8,$E$4:$E$119)</f>
        <v>710.06</v>
      </c>
    </row>
    <row r="9">
      <c r="A9" s="4">
        <v>46171</v>
      </c>
      <c r="B9" s="2" t="inlineStr">
        <is>
          <t xml:space="preserve">Google *Youtube Tv</t>
        </is>
      </c>
      <c r="C9" s="2" t="inlineStr">
        <is>
          <t xml:space="preserve">Streaming – YouTube TV (Google)</t>
        </is>
      </c>
      <c r="D9" s="2" t="inlineStr">
        <is>
          <t xml:space="preserve">Streaming</t>
        </is>
      </c>
      <c r="E9" s="3">
        <v>89.0</v>
      </c>
      <c r="G9" s="2" t="inlineStr">
        <is>
          <t xml:space="preserve">St. James Plantation POA Dues</t>
        </is>
      </c>
      <c r="H9" s="3">
        <f>SUMIF($C$4:$C$119,G9,$E$4:$E$119)</f>
        <v>692.95</v>
      </c>
    </row>
    <row r="10">
      <c r="A10" s="4">
        <v>46171</v>
      </c>
      <c r="B10" s="2" t="inlineStr">
        <is>
          <t xml:space="preserve">Google *Youtube Tv</t>
        </is>
      </c>
      <c r="C10" s="2" t="inlineStr">
        <is>
          <t xml:space="preserve">Streaming – YouTube TV (Google)</t>
        </is>
      </c>
      <c r="D10" s="2" t="inlineStr">
        <is>
          <t xml:space="preserve">Streaming</t>
        </is>
      </c>
      <c r="E10" s="3">
        <v>11.78</v>
      </c>
      <c r="G10" s="2" t="inlineStr">
        <is>
          <t xml:space="preserve">Retail – Belk (store card payments)</t>
        </is>
      </c>
      <c r="H10" s="3">
        <f>SUMIF($C$4:$C$119,G10,$E$4:$E$119)</f>
        <v>386.69</v>
      </c>
    </row>
    <row r="11">
      <c r="A11" s="4">
        <v>46171</v>
      </c>
      <c r="B11" s="2" t="inlineStr">
        <is>
          <t xml:space="preserve">Roku for Disney El</t>
        </is>
      </c>
      <c r="C11" s="2" t="inlineStr">
        <is>
          <t xml:space="preserve">Streaming – Disney (via Roku)</t>
        </is>
      </c>
      <c r="D11" s="2" t="inlineStr">
        <is>
          <t xml:space="preserve">Streaming</t>
        </is>
      </c>
      <c r="E11" s="3">
        <v>20.27</v>
      </c>
      <c r="G11" s="2" t="inlineStr">
        <is>
          <t xml:space="preserve">Allstate Insurance</t>
        </is>
      </c>
      <c r="H11" s="3">
        <f>SUMIF($C$4:$C$119,G11,$E$4:$E$119)</f>
        <v>360.42</v>
      </c>
    </row>
    <row r="12">
      <c r="A12" s="4">
        <v>46171</v>
      </c>
      <c r="B12" s="2" t="inlineStr">
        <is>
          <t xml:space="preserve">Lowes Food #235 Bolivia NC</t>
        </is>
      </c>
      <c r="C12" s="2" t="inlineStr">
        <is>
          <t xml:space="preserve">Grocery – Lowes Foods</t>
        </is>
      </c>
      <c r="D12" s="2" t="inlineStr">
        <is>
          <t xml:space="preserve">Groceries</t>
        </is>
      </c>
      <c r="E12" s="3">
        <v>125.08</v>
      </c>
      <c r="G12" s="2" t="inlineStr">
        <is>
          <t xml:space="preserve">Verizon Wireless</t>
        </is>
      </c>
      <c r="H12" s="3">
        <f>SUMIF($C$4:$C$119,G12,$E$4:$E$119)</f>
        <v>294.57</v>
      </c>
    </row>
    <row r="13">
      <c r="A13" s="4">
        <v>46174</v>
      </c>
      <c r="B13" s="2" t="inlineStr">
        <is>
          <t xml:space="preserve">Apple.Com/Bill 866-712-7753</t>
        </is>
      </c>
      <c r="C13" s="2" t="inlineStr">
        <is>
          <t xml:space="preserve">Software &amp; Online Subscriptions</t>
        </is>
      </c>
      <c r="D13" s="2" t="inlineStr">
        <is>
          <t xml:space="preserve">Subscriptions</t>
        </is>
      </c>
      <c r="E13" s="3">
        <v>13.8</v>
      </c>
      <c r="G13" s="2" t="inlineStr">
        <is>
          <t xml:space="preserve">Other Food Stores (Harris Teeter, Beach Pantry)</t>
        </is>
      </c>
      <c r="H13" s="3">
        <f>SUMIF($C$4:$C$119,G13,$E$4:$E$119)</f>
        <v>263.35</v>
      </c>
    </row>
    <row r="14">
      <c r="A14" s="4">
        <v>46174</v>
      </c>
      <c r="B14" s="2" t="inlineStr">
        <is>
          <t xml:space="preserve">DD *Doordash Bella</t>
        </is>
      </c>
      <c r="C14" s="2" t="inlineStr">
        <is>
          <t xml:space="preserve">Restaurants &amp; Takeout</t>
        </is>
      </c>
      <c r="D14" s="2" t="inlineStr">
        <is>
          <t xml:space="preserve">Food</t>
        </is>
      </c>
      <c r="E14" s="3">
        <v>62.84</v>
      </c>
      <c r="G14" s="2" t="inlineStr">
        <is>
          <t xml:space="preserve">Health Insurance – Blue Cross NC</t>
        </is>
      </c>
      <c r="H14" s="3">
        <f>SUMIF($C$4:$C$119,G14,$E$4:$E$119)</f>
        <v>216.25</v>
      </c>
    </row>
    <row r="15">
      <c r="A15" s="4">
        <v>46174</v>
      </c>
      <c r="B15" s="2" t="inlineStr">
        <is>
          <t xml:space="preserve">Ls Mad River 186-69321801 NC</t>
        </is>
      </c>
      <c r="C15" s="2" t="inlineStr">
        <is>
          <t xml:space="preserve">Retail – Local shops (Hippie Chick, Southport Spices, Mad River, Coastal Carolina)</t>
        </is>
      </c>
      <c r="D15" s="2" t="inlineStr">
        <is>
          <t xml:space="preserve">Retail</t>
        </is>
      </c>
      <c r="E15" s="3">
        <v>41.63</v>
      </c>
      <c r="G15" s="2" t="inlineStr">
        <is>
          <t xml:space="preserve">Haircuts – The Color Bar</t>
        </is>
      </c>
      <c r="H15" s="3">
        <f>SUMIF($C$4:$C$119,G15,$E$4:$E$119)</f>
        <v>182.5</v>
      </c>
    </row>
    <row r="16">
      <c r="A16" s="4">
        <v>46174</v>
      </c>
      <c r="B16" s="2" t="inlineStr">
        <is>
          <t xml:space="preserve">Lil &amp; Johnssweetreat 2 Oak</t>
        </is>
      </c>
      <c r="C16" s="2" t="inlineStr">
        <is>
          <t xml:space="preserve">Restaurants &amp; Takeout</t>
        </is>
      </c>
      <c r="D16" s="2" t="inlineStr">
        <is>
          <t xml:space="preserve">Food</t>
        </is>
      </c>
      <c r="E16" s="3">
        <v>22.1</v>
      </c>
      <c r="G16" s="2" t="inlineStr">
        <is>
          <t xml:space="preserve">Student Loan (Dept of Education)</t>
        </is>
      </c>
      <c r="H16" s="3">
        <f>SUMIF($C$4:$C$119,G16,$E$4:$E$119)</f>
        <v>160.37</v>
      </c>
    </row>
    <row r="17">
      <c r="A17" s="4">
        <v>46174</v>
      </c>
      <c r="B17" s="2" t="inlineStr">
        <is>
          <t xml:space="preserve">DD *Doordash Sanfe</t>
        </is>
      </c>
      <c r="C17" s="2" t="inlineStr">
        <is>
          <t xml:space="preserve">Restaurants &amp; Takeout</t>
        </is>
      </c>
      <c r="D17" s="2" t="inlineStr">
        <is>
          <t xml:space="preserve">Food</t>
        </is>
      </c>
      <c r="E17" s="3">
        <v>79.54</v>
      </c>
      <c r="G17" s="2" t="inlineStr">
        <is>
          <t xml:space="preserve">CVS Pharmacy</t>
        </is>
      </c>
      <c r="H17" s="3">
        <f>SUMIF($C$4:$C$119,G17,$E$4:$E$119)</f>
        <v>160.07</v>
      </c>
    </row>
    <row r="18">
      <c r="A18" s="4">
        <v>46174</v>
      </c>
      <c r="B18" s="2" t="inlineStr">
        <is>
          <t xml:space="preserve">Bath &amp; Body Works 3088</t>
        </is>
      </c>
      <c r="C18" s="2" t="inlineStr">
        <is>
          <t xml:space="preserve">Retail – Bath &amp; Body Works</t>
        </is>
      </c>
      <c r="D18" s="2" t="inlineStr">
        <is>
          <t xml:space="preserve">Retail</t>
        </is>
      </c>
      <c r="E18" s="3">
        <v>51.31</v>
      </c>
      <c r="G18" s="2" t="inlineStr">
        <is>
          <t xml:space="preserve">Software &amp; Online Subscriptions</t>
        </is>
      </c>
      <c r="H18" s="3">
        <f>SUMIF($C$4:$C$119,G18,$E$4:$E$119)</f>
        <v>141.73</v>
      </c>
    </row>
    <row r="19">
      <c r="A19" s="4">
        <v>46174</v>
      </c>
      <c r="B19" s="2" t="inlineStr">
        <is>
          <t xml:space="preserve">Ulta 1519 Wilmington NC</t>
        </is>
      </c>
      <c r="C19" s="2" t="inlineStr">
        <is>
          <t xml:space="preserve">Retail – Ulta Beauty</t>
        </is>
      </c>
      <c r="D19" s="2" t="inlineStr">
        <is>
          <t xml:space="preserve">Retail</t>
        </is>
      </c>
      <c r="E19" s="3">
        <v>97.35</v>
      </c>
      <c r="G19" s="2" t="inlineStr">
        <is>
          <t xml:space="preserve">Retail – Ulta Beauty</t>
        </is>
      </c>
      <c r="H19" s="3">
        <f>SUMIF($C$4:$C$119,G19,$E$4:$E$119)</f>
        <v>134.71</v>
      </c>
    </row>
    <row r="20">
      <c r="A20" s="4">
        <v>46174</v>
      </c>
      <c r="B20" s="2" t="inlineStr">
        <is>
          <t xml:space="preserve">Lil &amp; Johnssweetreat 2 Oak</t>
        </is>
      </c>
      <c r="C20" s="2" t="inlineStr">
        <is>
          <t xml:space="preserve">Restaurants &amp; Takeout</t>
        </is>
      </c>
      <c r="D20" s="2" t="inlineStr">
        <is>
          <t xml:space="preserve">Food</t>
        </is>
      </c>
      <c r="E20" s="3">
        <v>9.82</v>
      </c>
      <c r="G20" s="2" t="inlineStr">
        <is>
          <t xml:space="preserve">Grocery – Publix</t>
        </is>
      </c>
      <c r="H20" s="3">
        <f>SUMIF($C$4:$C$119,G20,$E$4:$E$119)</f>
        <v>120.71</v>
      </c>
    </row>
    <row r="21">
      <c r="A21" s="4">
        <v>46174</v>
      </c>
      <c r="B21" s="2" t="inlineStr">
        <is>
          <t xml:space="preserve">Lowes Foods #27 Southport NC</t>
        </is>
      </c>
      <c r="C21" s="2" t="inlineStr">
        <is>
          <t xml:space="preserve">Grocery – Lowes Foods</t>
        </is>
      </c>
      <c r="D21" s="2" t="inlineStr">
        <is>
          <t xml:space="preserve">Groceries</t>
        </is>
      </c>
      <c r="E21" s="3">
        <v>37.15</v>
      </c>
      <c r="G21" s="2" t="inlineStr">
        <is>
          <t xml:space="preserve">Gas &amp; Convenience Stores</t>
        </is>
      </c>
      <c r="H21" s="3">
        <f>SUMIF($C$4:$C$119,G21,$E$4:$E$119)</f>
        <v>108.9</v>
      </c>
    </row>
    <row r="22">
      <c r="A22" s="4">
        <v>46174</v>
      </c>
      <c r="B22" s="2" t="inlineStr">
        <is>
          <t xml:space="preserve">Check #520</t>
        </is>
      </c>
      <c r="C22" s="2" t="inlineStr">
        <is>
          <t xml:space="preserve">Checks Written (payee not shown)</t>
        </is>
      </c>
      <c r="D22" s="2" t="inlineStr">
        <is>
          <t xml:space="preserve">Excluded</t>
        </is>
      </c>
      <c r="E22" s="3">
        <v>1800.0</v>
      </c>
      <c r="G22" s="2" t="inlineStr">
        <is>
          <t xml:space="preserve">Retail – Local shops (Hippie Chick, Southport Spices, Mad River, Coastal Carolina)</t>
        </is>
      </c>
      <c r="H22" s="3">
        <f>SUMIF($C$4:$C$119,G22,$E$4:$E$119)</f>
        <v>108.03</v>
      </c>
    </row>
    <row r="23">
      <c r="A23" s="4">
        <v>46175</v>
      </c>
      <c r="B23" s="2" t="inlineStr">
        <is>
          <t xml:space="preserve">Par*Drift Coffee &amp; Wilmington</t>
        </is>
      </c>
      <c r="C23" s="2" t="inlineStr">
        <is>
          <t xml:space="preserve">Restaurants &amp; Takeout</t>
        </is>
      </c>
      <c r="D23" s="2" t="inlineStr">
        <is>
          <t xml:space="preserve">Food</t>
        </is>
      </c>
      <c r="E23" s="3">
        <v>29.61</v>
      </c>
      <c r="G23" s="2" t="inlineStr">
        <is>
          <t xml:space="preserve">Travel (Lyft, Hotel)</t>
        </is>
      </c>
      <c r="H23" s="3">
        <f>SUMIF($C$4:$C$119,G23,$E$4:$E$119)</f>
        <v>102.65</v>
      </c>
    </row>
    <row r="24">
      <c r="A24" s="4">
        <v>46175</v>
      </c>
      <c r="B24" s="2" t="inlineStr">
        <is>
          <t xml:space="preserve">Starbucks 18295 Wilmington NC</t>
        </is>
      </c>
      <c r="C24" s="2" t="inlineStr">
        <is>
          <t xml:space="preserve">Restaurants &amp; Takeout</t>
        </is>
      </c>
      <c r="D24" s="2" t="inlineStr">
        <is>
          <t xml:space="preserve">Food</t>
        </is>
      </c>
      <c r="E24" s="3">
        <v>6.23</v>
      </c>
      <c r="G24" s="2" t="inlineStr">
        <is>
          <t xml:space="preserve">Streaming – YouTube TV (Google)</t>
        </is>
      </c>
      <c r="H24" s="3">
        <f>SUMIF($C$4:$C$119,G24,$E$4:$E$119)</f>
        <v>100.78</v>
      </c>
    </row>
    <row r="25">
      <c r="A25" s="4">
        <v>46176</v>
      </c>
      <c r="B25" s="2" t="inlineStr">
        <is>
          <t xml:space="preserve">McDonald's F16312 Sunset</t>
        </is>
      </c>
      <c r="C25" s="2" t="inlineStr">
        <is>
          <t xml:space="preserve">Restaurants &amp; Takeout</t>
        </is>
      </c>
      <c r="D25" s="2" t="inlineStr">
        <is>
          <t xml:space="preserve">Food</t>
        </is>
      </c>
      <c r="E25" s="3">
        <v>8.51</v>
      </c>
      <c r="G25" s="2" t="inlineStr">
        <is>
          <t xml:space="preserve">Internet – Focus Broadband</t>
        </is>
      </c>
      <c r="H25" s="3">
        <f>SUMIF($C$4:$C$119,G25,$E$4:$E$119)</f>
        <v>80.79</v>
      </c>
    </row>
    <row r="26">
      <c r="A26" s="4">
        <v>46176</v>
      </c>
      <c r="B26" s="2" t="inlineStr">
        <is>
          <t xml:space="preserve">Ctlp*Pepsi Bottlin Raleigh NC</t>
        </is>
      </c>
      <c r="C26" s="2" t="inlineStr">
        <is>
          <t xml:space="preserve">Restaurants &amp; Takeout</t>
        </is>
      </c>
      <c r="D26" s="2" t="inlineStr">
        <is>
          <t xml:space="preserve">Food</t>
        </is>
      </c>
      <c r="E26" s="3">
        <v>2.15</v>
      </c>
      <c r="G26" s="2" t="inlineStr">
        <is>
          <t xml:space="preserve">Life Insurance (Lincoln National)</t>
        </is>
      </c>
      <c r="H26" s="3">
        <f>SUMIF($C$4:$C$119,G26,$E$4:$E$119)</f>
        <v>79.21</v>
      </c>
    </row>
    <row r="27">
      <c r="A27" s="4">
        <v>46176</v>
      </c>
      <c r="B27" s="2" t="inlineStr">
        <is>
          <t xml:space="preserve">Ctlp*Pepsi Bottlin Raleigh NC</t>
        </is>
      </c>
      <c r="C27" s="2" t="inlineStr">
        <is>
          <t xml:space="preserve">Restaurants &amp; Takeout</t>
        </is>
      </c>
      <c r="D27" s="2" t="inlineStr">
        <is>
          <t xml:space="preserve">Food</t>
        </is>
      </c>
      <c r="E27" s="3">
        <v>2.15</v>
      </c>
      <c r="G27" s="2" t="inlineStr">
        <is>
          <t xml:space="preserve">Utility – Water/Sewer (Brunswick County)</t>
        </is>
      </c>
      <c r="H27" s="3">
        <f>SUMIF($C$4:$C$119,G27,$E$4:$E$119)</f>
        <v>78.84</v>
      </c>
    </row>
    <row r="28">
      <c r="A28" s="4">
        <v>46177</v>
      </c>
      <c r="B28" s="2" t="inlineStr">
        <is>
          <t xml:space="preserve">Tst* The Grumpy MO Myrtle</t>
        </is>
      </c>
      <c r="C28" s="2" t="inlineStr">
        <is>
          <t xml:space="preserve">Restaurants &amp; Takeout</t>
        </is>
      </c>
      <c r="D28" s="2" t="inlineStr">
        <is>
          <t xml:space="preserve">Food</t>
        </is>
      </c>
      <c r="E28" s="3">
        <v>35.94</v>
      </c>
      <c r="G28" s="2" t="inlineStr">
        <is>
          <t xml:space="preserve">Transfers to People (Venmo/Zelle)</t>
        </is>
      </c>
      <c r="H28" s="3">
        <f>SUMIF($C$4:$C$119,G28,$E$4:$E$119)</f>
        <v>75.0</v>
      </c>
    </row>
    <row r="29">
      <c r="A29" s="4">
        <v>46177</v>
      </c>
      <c r="B29" s="2" t="inlineStr">
        <is>
          <t xml:space="preserve">McDonald's F35966 Supply NC</t>
        </is>
      </c>
      <c r="C29" s="2" t="inlineStr">
        <is>
          <t xml:space="preserve">Restaurants &amp; Takeout</t>
        </is>
      </c>
      <c r="D29" s="2" t="inlineStr">
        <is>
          <t xml:space="preserve">Food</t>
        </is>
      </c>
      <c r="E29" s="3">
        <v>7.55</v>
      </c>
      <c r="G29" s="2" t="inlineStr">
        <is>
          <t xml:space="preserve">Dental Insurance – Delta Dental</t>
        </is>
      </c>
      <c r="H29" s="3">
        <f>SUMIF($C$4:$C$119,G29,$E$4:$E$119)</f>
        <v>69.36</v>
      </c>
    </row>
    <row r="30">
      <c r="A30" s="4">
        <v>46177</v>
      </c>
      <c r="B30" s="2" t="inlineStr">
        <is>
          <t xml:space="preserve">Lowes Foods #27 Southport NC</t>
        </is>
      </c>
      <c r="C30" s="2" t="inlineStr">
        <is>
          <t xml:space="preserve">Grocery – Lowes Foods</t>
        </is>
      </c>
      <c r="D30" s="2" t="inlineStr">
        <is>
          <t xml:space="preserve">Groceries</t>
        </is>
      </c>
      <c r="E30" s="3">
        <v>225.23</v>
      </c>
      <c r="G30" s="2" t="inlineStr">
        <is>
          <t xml:space="preserve">Yard Company (NextGen)</t>
        </is>
      </c>
      <c r="H30" s="3">
        <f>SUMIF($C$4:$C$119,G30,$E$4:$E$119)</f>
        <v>60.0</v>
      </c>
    </row>
    <row r="31">
      <c r="A31" s="4">
        <v>46178</v>
      </c>
      <c r="B31" s="2" t="inlineStr">
        <is>
          <t xml:space="preserve">DD *Doordash Bella</t>
        </is>
      </c>
      <c r="C31" s="2" t="inlineStr">
        <is>
          <t xml:space="preserve">Restaurants &amp; Takeout</t>
        </is>
      </c>
      <c r="D31" s="2" t="inlineStr">
        <is>
          <t xml:space="preserve">Food</t>
        </is>
      </c>
      <c r="E31" s="3">
        <v>67.98</v>
      </c>
      <c r="G31" s="2" t="inlineStr">
        <is>
          <t xml:space="preserve">Retail – Target</t>
        </is>
      </c>
      <c r="H31" s="3">
        <f>SUMIF($C$4:$C$119,G31,$E$4:$E$119)</f>
        <v>58.98</v>
      </c>
    </row>
    <row r="32">
      <c r="A32" s="4">
        <v>46178</v>
      </c>
      <c r="B32" s="2" t="inlineStr">
        <is>
          <t xml:space="preserve">Frndlytv Inc*+ 1Ad</t>
        </is>
      </c>
      <c r="C32" s="2" t="inlineStr">
        <is>
          <t xml:space="preserve">Streaming – Frndly TV</t>
        </is>
      </c>
      <c r="D32" s="2" t="inlineStr">
        <is>
          <t xml:space="preserve">Streaming</t>
        </is>
      </c>
      <c r="E32" s="3">
        <v>22.41</v>
      </c>
      <c r="G32" s="2" t="inlineStr">
        <is>
          <t xml:space="preserve">Retail – Bath &amp; Body Works</t>
        </is>
      </c>
      <c r="H32" s="3">
        <f>SUMIF($C$4:$C$119,G32,$E$4:$E$119)</f>
        <v>51.31</v>
      </c>
    </row>
    <row r="33">
      <c r="A33" s="4">
        <v>46178</v>
      </c>
      <c r="B33" s="2" t="inlineStr">
        <is>
          <t xml:space="preserve">The Color Bar Hair Oak Island NC</t>
        </is>
      </c>
      <c r="C33" s="2" t="inlineStr">
        <is>
          <t xml:space="preserve">Haircuts – The Color Bar</t>
        </is>
      </c>
      <c r="D33" s="2" t="inlineStr">
        <is>
          <t xml:space="preserve">Personal</t>
        </is>
      </c>
      <c r="E33" s="3">
        <v>150.0</v>
      </c>
      <c r="G33" s="2" t="inlineStr">
        <is>
          <t xml:space="preserve">Retail – Ross</t>
        </is>
      </c>
      <c r="H33" s="3">
        <f>SUMIF($C$4:$C$119,G33,$E$4:$E$119)</f>
        <v>48.03</v>
      </c>
    </row>
    <row r="34">
      <c r="A34" s="4">
        <v>46178</v>
      </c>
      <c r="B34" s="2" t="inlineStr">
        <is>
          <t xml:space="preserve">Bp#1820398Han-D Bolivia NC</t>
        </is>
      </c>
      <c r="C34" s="2" t="inlineStr">
        <is>
          <t xml:space="preserve">Gas &amp; Convenience Stores</t>
        </is>
      </c>
      <c r="D34" s="2" t="inlineStr">
        <is>
          <t xml:space="preserve">Transportation</t>
        </is>
      </c>
      <c r="E34" s="3">
        <v>4.78</v>
      </c>
      <c r="G34" s="2" t="inlineStr">
        <is>
          <t xml:space="preserve">Retail – Lowe's (home improvement)</t>
        </is>
      </c>
      <c r="H34" s="3">
        <f>SUMIF($C$4:$C$119,G34,$E$4:$E$119)</f>
        <v>27.67</v>
      </c>
    </row>
    <row r="35">
      <c r="A35" s="4">
        <v>46178</v>
      </c>
      <c r="B35" s="2" t="inlineStr">
        <is>
          <t xml:space="preserve">Check #101</t>
        </is>
      </c>
      <c r="C35" s="2" t="inlineStr">
        <is>
          <t xml:space="preserve">Checks Written (payee not shown)</t>
        </is>
      </c>
      <c r="D35" s="2" t="inlineStr">
        <is>
          <t xml:space="preserve">Excluded</t>
        </is>
      </c>
      <c r="E35" s="3">
        <v>830.0</v>
      </c>
      <c r="G35" s="2" t="inlineStr">
        <is>
          <t xml:space="preserve">Streaming – Frndly TV</t>
        </is>
      </c>
      <c r="H35" s="3">
        <f>SUMIF($C$4:$C$119,G35,$E$4:$E$119)</f>
        <v>22.41</v>
      </c>
    </row>
    <row r="36">
      <c r="A36" s="4">
        <v>46181</v>
      </c>
      <c r="B36" s="2" t="inlineStr">
        <is>
          <t xml:space="preserve">Subway 69604 Bolivia NC</t>
        </is>
      </c>
      <c r="C36" s="2" t="inlineStr">
        <is>
          <t xml:space="preserve">Restaurants &amp; Takeout</t>
        </is>
      </c>
      <c r="D36" s="2" t="inlineStr">
        <is>
          <t xml:space="preserve">Food</t>
        </is>
      </c>
      <c r="E36" s="3">
        <v>12.9</v>
      </c>
      <c r="G36" s="2" t="inlineStr">
        <is>
          <t xml:space="preserve">Streaming – Disney (via Roku)</t>
        </is>
      </c>
      <c r="H36" s="3">
        <f>SUMIF($C$4:$C$119,G36,$E$4:$E$119)</f>
        <v>20.27</v>
      </c>
    </row>
    <row r="37">
      <c r="A37" s="4">
        <v>46181</v>
      </c>
      <c r="B37" s="2" t="inlineStr">
        <is>
          <t xml:space="preserve">McDonald's F7702 Southport NC</t>
        </is>
      </c>
      <c r="C37" s="2" t="inlineStr">
        <is>
          <t xml:space="preserve">Restaurants &amp; Takeout</t>
        </is>
      </c>
      <c r="D37" s="2" t="inlineStr">
        <is>
          <t xml:space="preserve">Food</t>
        </is>
      </c>
      <c r="E37" s="3">
        <v>10.34</v>
      </c>
      <c r="G37" s="2" t="inlineStr">
        <is>
          <t xml:space="preserve">Streaming – HBO Max</t>
        </is>
      </c>
      <c r="H37" s="3">
        <f>SUMIF($C$4:$C$119,G37,$E$4:$E$119)</f>
        <v>19.74</v>
      </c>
    </row>
    <row r="38">
      <c r="A38" s="4">
        <v>46181</v>
      </c>
      <c r="B38" s="2" t="inlineStr">
        <is>
          <t xml:space="preserve">Lowe's #682 Southport NC</t>
        </is>
      </c>
      <c r="C38" s="2" t="inlineStr">
        <is>
          <t xml:space="preserve">Retail – Lowe's (home improvement)</t>
        </is>
      </c>
      <c r="D38" s="2" t="inlineStr">
        <is>
          <t xml:space="preserve">Retail</t>
        </is>
      </c>
      <c r="E38" s="3">
        <v>27.67</v>
      </c>
      <c r="G38" s="2" t="inlineStr">
        <is>
          <t xml:space="preserve">Streaming – ESPN (Sept billed as Disney Plus)</t>
        </is>
      </c>
      <c r="H38" s="3">
        <f>SUMIF($C$4:$C$119,G38,$E$4:$E$119)</f>
        <v>13.87</v>
      </c>
    </row>
    <row r="39">
      <c r="A39" s="4">
        <v>46181</v>
      </c>
      <c r="B39" s="2" t="inlineStr">
        <is>
          <t xml:space="preserve">Wtw Ccc Tccc 2026Jun</t>
        </is>
      </c>
      <c r="C39" s="2" t="inlineStr">
        <is>
          <t xml:space="preserve">WTW Health Premium (reimbursed by Via Benefits)</t>
        </is>
      </c>
      <c r="D39" s="2" t="inlineStr">
        <is>
          <t xml:space="preserve">Excluded</t>
        </is>
      </c>
      <c r="E39" s="3">
        <v>2576.0</v>
      </c>
      <c r="G39" s="2" t="inlineStr">
        <is>
          <t xml:space="preserve">Streaming – Peacock (via Roku)</t>
        </is>
      </c>
      <c r="H39" s="3">
        <f>SUMIF($C$4:$C$119,G39,$E$4:$E$119)</f>
        <v>11.73</v>
      </c>
    </row>
    <row r="40">
      <c r="A40" s="4">
        <v>46181</v>
      </c>
      <c r="B40" s="2" t="inlineStr">
        <is>
          <t xml:space="preserve">Delta Dental of Delta Dent</t>
        </is>
      </c>
      <c r="C40" s="2" t="inlineStr">
        <is>
          <t xml:space="preserve">Dental Insurance – Delta Dental</t>
        </is>
      </c>
      <c r="D40" s="2" t="inlineStr">
        <is>
          <t xml:space="preserve">Insurance</t>
        </is>
      </c>
      <c r="E40" s="3">
        <v>69.36</v>
      </c>
      <c r="G40" s="2" t="inlineStr">
        <is>
          <t xml:space="preserve">Tolls &amp; Parking</t>
        </is>
      </c>
      <c r="H40" s="3">
        <f>SUMIF($C$4:$C$119,G40,$E$4:$E$119)</f>
        <v>5.84</v>
      </c>
    </row>
    <row r="41">
      <c r="A41" s="4">
        <v>46181</v>
      </c>
      <c r="B41" s="2" t="inlineStr">
        <is>
          <t xml:space="preserve">Banner Life Prem Debit 17180884647</t>
        </is>
      </c>
      <c r="C41" s="2" t="inlineStr">
        <is>
          <t xml:space="preserve">Banner Life Insurance</t>
        </is>
      </c>
      <c r="D41" s="2" t="inlineStr">
        <is>
          <t xml:space="preserve">Insurance</t>
        </is>
      </c>
      <c r="E41" s="3">
        <v>710.06</v>
      </c>
      <c r="G41" s="8" t="inlineStr">
        <is>
          <t xml:space="preserve">Total spending</t>
        </is>
      </c>
      <c r="H41" s="9">
        <f>SUM(H4:H40)</f>
        <v>12135.81</v>
      </c>
    </row>
    <row r="42">
      <c r="A42" s="4">
        <v>46182</v>
      </c>
      <c r="B42" s="2" t="inlineStr">
        <is>
          <t xml:space="preserve">Propertyrecs.Com</t>
        </is>
      </c>
      <c r="C42" s="2" t="inlineStr">
        <is>
          <t xml:space="preserve">Software &amp; Online Subscriptions</t>
        </is>
      </c>
      <c r="D42" s="2" t="inlineStr">
        <is>
          <t xml:space="preserve">Subscriptions</t>
        </is>
      </c>
      <c r="E42" s="3">
        <v>20.0</v>
      </c>
    </row>
    <row r="43">
      <c r="A43" s="4">
        <v>46182</v>
      </c>
      <c r="B43" s="2" t="inlineStr">
        <is>
          <t xml:space="preserve">365 Market H 888 4 Troy MI</t>
        </is>
      </c>
      <c r="C43" s="2" t="inlineStr">
        <is>
          <t xml:space="preserve">Restaurants &amp; Takeout</t>
        </is>
      </c>
      <c r="D43" s="2" t="inlineStr">
        <is>
          <t xml:space="preserve">Food</t>
        </is>
      </c>
      <c r="E43" s="3">
        <v>5.08</v>
      </c>
      <c r="G43" s="7" t="inlineStr">
        <is>
          <t xml:space="preserve">Not counted as spending</t>
        </is>
      </c>
      <c r="H43" s="7"/>
    </row>
    <row r="44">
      <c r="A44" s="4">
        <v>46182</v>
      </c>
      <c r="B44" s="2" t="inlineStr">
        <is>
          <t xml:space="preserve">DD *Doordash Seasi</t>
        </is>
      </c>
      <c r="C44" s="2" t="inlineStr">
        <is>
          <t xml:space="preserve">Restaurants &amp; Takeout</t>
        </is>
      </c>
      <c r="D44" s="2" t="inlineStr">
        <is>
          <t xml:space="preserve">Food</t>
        </is>
      </c>
      <c r="E44" s="3">
        <v>34.5</v>
      </c>
      <c r="G44" s="2" t="inlineStr">
        <is>
          <t xml:space="preserve">Checks Written (payee not shown)</t>
        </is>
      </c>
      <c r="H44" s="3">
        <f>SUMIF($C$4:$C$119,G44,$E$4:$E$119)</f>
        <v>2630.0</v>
      </c>
    </row>
    <row r="45">
      <c r="A45" s="4">
        <v>46182</v>
      </c>
      <c r="B45" s="2" t="inlineStr">
        <is>
          <t xml:space="preserve">Focus Broadband Clover.Com NC</t>
        </is>
      </c>
      <c r="C45" s="2" t="inlineStr">
        <is>
          <t xml:space="preserve">Internet – Focus Broadband</t>
        </is>
      </c>
      <c r="D45" s="2" t="inlineStr">
        <is>
          <t xml:space="preserve">Phone &amp; Internet</t>
        </is>
      </c>
      <c r="E45" s="3">
        <v>80.79</v>
      </c>
      <c r="G45" s="2" t="inlineStr">
        <is>
          <t xml:space="preserve">WTW Health Premium (reimbursed by Via Benefits)</t>
        </is>
      </c>
      <c r="H45" s="3">
        <f>SUMIF($C$4:$C$119,G45,$E$4:$E$119)</f>
        <v>2576.0</v>
      </c>
    </row>
    <row r="46">
      <c r="A46" s="4">
        <v>46182</v>
      </c>
      <c r="B46" s="2" t="inlineStr">
        <is>
          <t xml:space="preserve">NC Quick Pass 877-769-7277 NC</t>
        </is>
      </c>
      <c r="C46" s="2" t="inlineStr">
        <is>
          <t xml:space="preserve">Tolls &amp; Parking</t>
        </is>
      </c>
      <c r="D46" s="2" t="inlineStr">
        <is>
          <t xml:space="preserve">Transportation</t>
        </is>
      </c>
      <c r="E46" s="3">
        <v>5.84</v>
      </c>
    </row>
    <row r="47">
      <c r="A47" s="4">
        <v>46182</v>
      </c>
      <c r="B47" s="2" t="inlineStr">
        <is>
          <t xml:space="preserve">Hh 21 Winnabow NC</t>
        </is>
      </c>
      <c r="C47" s="2" t="inlineStr">
        <is>
          <t xml:space="preserve">Gas &amp; Convenience Stores</t>
        </is>
      </c>
      <c r="D47" s="2" t="inlineStr">
        <is>
          <t xml:space="preserve">Transportation</t>
        </is>
      </c>
      <c r="E47" s="3">
        <v>6.39</v>
      </c>
    </row>
    <row r="48">
      <c r="A48" s="4">
        <v>46182</v>
      </c>
      <c r="B48" s="2" t="inlineStr">
        <is>
          <t xml:space="preserve">St James Plantat Assn Dues</t>
        </is>
      </c>
      <c r="C48" s="2" t="inlineStr">
        <is>
          <t xml:space="preserve">St. James Plantation POA Dues</t>
        </is>
      </c>
      <c r="D48" s="2" t="inlineStr">
        <is>
          <t xml:space="preserve">Housing</t>
        </is>
      </c>
      <c r="E48" s="3">
        <v>692.95</v>
      </c>
    </row>
    <row r="49">
      <c r="A49" s="4">
        <v>46183</v>
      </c>
      <c r="B49" s="2" t="inlineStr">
        <is>
          <t xml:space="preserve">Opc*Brunswick CO U</t>
        </is>
      </c>
      <c r="C49" s="2" t="inlineStr">
        <is>
          <t xml:space="preserve">Utility – Water/Sewer (Brunswick County)</t>
        </is>
      </c>
      <c r="D49" s="2" t="inlineStr">
        <is>
          <t xml:space="preserve">Utilities</t>
        </is>
      </c>
      <c r="E49" s="3">
        <v>75.89</v>
      </c>
    </row>
    <row r="50">
      <c r="A50" s="4">
        <v>46183</v>
      </c>
      <c r="B50" s="2" t="inlineStr">
        <is>
          <t xml:space="preserve">Opc Utl*Service Fe</t>
        </is>
      </c>
      <c r="C50" s="2" t="inlineStr">
        <is>
          <t xml:space="preserve">Utility – Water/Sewer (Brunswick County)</t>
        </is>
      </c>
      <c r="D50" s="2" t="inlineStr">
        <is>
          <t xml:space="preserve">Utilities</t>
        </is>
      </c>
      <c r="E50" s="3">
        <v>2.95</v>
      </c>
    </row>
    <row r="51">
      <c r="A51" s="4">
        <v>46183</v>
      </c>
      <c r="B51" s="2" t="inlineStr">
        <is>
          <t xml:space="preserve">Ross Store #2284 Shallotte NC</t>
        </is>
      </c>
      <c r="C51" s="2" t="inlineStr">
        <is>
          <t xml:space="preserve">Retail – Ross</t>
        </is>
      </c>
      <c r="D51" s="2" t="inlineStr">
        <is>
          <t xml:space="preserve">Retail</t>
        </is>
      </c>
      <c r="E51" s="3">
        <v>48.03</v>
      </c>
    </row>
    <row r="52">
      <c r="A52" s="4">
        <v>46183</v>
      </c>
      <c r="B52" s="2" t="inlineStr">
        <is>
          <t xml:space="preserve">Ulta 1590 Shallotte NC</t>
        </is>
      </c>
      <c r="C52" s="2" t="inlineStr">
        <is>
          <t xml:space="preserve">Retail – Ulta Beauty</t>
        </is>
      </c>
      <c r="D52" s="2" t="inlineStr">
        <is>
          <t xml:space="preserve">Retail</t>
        </is>
      </c>
      <c r="E52" s="3">
        <v>37.36</v>
      </c>
    </row>
    <row r="53">
      <c r="A53" s="4">
        <v>46183</v>
      </c>
      <c r="B53" s="2" t="inlineStr">
        <is>
          <t xml:space="preserve">Wawa 6129 Garner NC</t>
        </is>
      </c>
      <c r="C53" s="2" t="inlineStr">
        <is>
          <t xml:space="preserve">Gas &amp; Convenience Stores</t>
        </is>
      </c>
      <c r="D53" s="2" t="inlineStr">
        <is>
          <t xml:space="preserve">Transportation</t>
        </is>
      </c>
      <c r="E53" s="3">
        <v>53.61</v>
      </c>
    </row>
    <row r="54">
      <c r="A54" s="4">
        <v>46184</v>
      </c>
      <c r="B54" s="2" t="inlineStr">
        <is>
          <t xml:space="preserve">Tst* Greek Fiesta Cary NC</t>
        </is>
      </c>
      <c r="C54" s="2" t="inlineStr">
        <is>
          <t xml:space="preserve">Restaurants &amp; Takeout</t>
        </is>
      </c>
      <c r="D54" s="2" t="inlineStr">
        <is>
          <t xml:space="preserve">Food</t>
        </is>
      </c>
      <c r="E54" s="3">
        <v>36.53</v>
      </c>
    </row>
    <row r="55">
      <c r="A55" s="4">
        <v>46184</v>
      </c>
      <c r="B55" s="2" t="inlineStr">
        <is>
          <t xml:space="preserve">Cold Stone Creamer</t>
        </is>
      </c>
      <c r="C55" s="2" t="inlineStr">
        <is>
          <t xml:space="preserve">Restaurants &amp; Takeout</t>
        </is>
      </c>
      <c r="D55" s="2" t="inlineStr">
        <is>
          <t xml:space="preserve">Food</t>
        </is>
      </c>
      <c r="E55" s="3">
        <v>15.14</v>
      </c>
    </row>
    <row r="56">
      <c r="A56" s="4">
        <v>46184</v>
      </c>
      <c r="B56" s="2" t="inlineStr">
        <is>
          <t xml:space="preserve">McDonald's F11779 Oxford NC</t>
        </is>
      </c>
      <c r="C56" s="2" t="inlineStr">
        <is>
          <t xml:space="preserve">Restaurants &amp; Takeout</t>
        </is>
      </c>
      <c r="D56" s="2" t="inlineStr">
        <is>
          <t xml:space="preserve">Food</t>
        </is>
      </c>
      <c r="E56" s="3">
        <v>11.07</v>
      </c>
    </row>
    <row r="57">
      <c r="A57" s="4">
        <v>46184</v>
      </c>
      <c r="B57" s="2" t="inlineStr">
        <is>
          <t xml:space="preserve">Lowes Food #235 Bolivia NC</t>
        </is>
      </c>
      <c r="C57" s="2" t="inlineStr">
        <is>
          <t xml:space="preserve">Grocery – Lowes Foods</t>
        </is>
      </c>
      <c r="D57" s="2" t="inlineStr">
        <is>
          <t xml:space="preserve">Groceries</t>
        </is>
      </c>
      <c r="E57" s="3">
        <v>53.35</v>
      </c>
    </row>
    <row r="58">
      <c r="A58" s="4">
        <v>46184</v>
      </c>
      <c r="B58" s="2" t="inlineStr">
        <is>
          <t xml:space="preserve">Zelle to Matt Dempsey</t>
        </is>
      </c>
      <c r="C58" s="2" t="inlineStr">
        <is>
          <t xml:space="preserve">Transfers to People (Venmo/Zelle)</t>
        </is>
      </c>
      <c r="D58" s="2" t="inlineStr">
        <is>
          <t xml:space="preserve">Transfers</t>
        </is>
      </c>
      <c r="E58" s="3">
        <v>75.0</v>
      </c>
    </row>
    <row r="59">
      <c r="A59" s="4">
        <v>46185</v>
      </c>
      <c r="B59" s="2" t="inlineStr">
        <is>
          <t xml:space="preserve">Wendys 1359 Creedmoor NC</t>
        </is>
      </c>
      <c r="C59" s="2" t="inlineStr">
        <is>
          <t xml:space="preserve">Restaurants &amp; Takeout</t>
        </is>
      </c>
      <c r="D59" s="2" t="inlineStr">
        <is>
          <t xml:space="preserve">Food</t>
        </is>
      </c>
      <c r="E59" s="3">
        <v>5.33</v>
      </c>
    </row>
    <row r="60">
      <c r="A60" s="4">
        <v>46185</v>
      </c>
      <c r="B60" s="2" t="inlineStr">
        <is>
          <t xml:space="preserve">Wendys 1359 Creedmoor NC</t>
        </is>
      </c>
      <c r="C60" s="2" t="inlineStr">
        <is>
          <t xml:space="preserve">Restaurants &amp; Takeout</t>
        </is>
      </c>
      <c r="D60" s="2" t="inlineStr">
        <is>
          <t xml:space="preserve">Food</t>
        </is>
      </c>
      <c r="E60" s="3">
        <v>3.41</v>
      </c>
    </row>
    <row r="61">
      <c r="A61" s="4">
        <v>46185</v>
      </c>
      <c r="B61" s="2" t="inlineStr">
        <is>
          <t xml:space="preserve">Wendys 1359 Creedmoor NC</t>
        </is>
      </c>
      <c r="C61" s="2" t="inlineStr">
        <is>
          <t xml:space="preserve">Restaurants &amp; Takeout</t>
        </is>
      </c>
      <c r="D61" s="2" t="inlineStr">
        <is>
          <t xml:space="preserve">Food</t>
        </is>
      </c>
      <c r="E61" s="3">
        <v>2.76</v>
      </c>
    </row>
    <row r="62">
      <c r="A62" s="4">
        <v>46185</v>
      </c>
      <c r="B62" s="2" t="inlineStr">
        <is>
          <t xml:space="preserve">Whataburger 1644 Garner NC</t>
        </is>
      </c>
      <c r="C62" s="2" t="inlineStr">
        <is>
          <t xml:space="preserve">Restaurants &amp; Takeout</t>
        </is>
      </c>
      <c r="D62" s="2" t="inlineStr">
        <is>
          <t xml:space="preserve">Food</t>
        </is>
      </c>
      <c r="E62" s="3">
        <v>22.45</v>
      </c>
    </row>
    <row r="63">
      <c r="A63" s="4">
        <v>46185</v>
      </c>
      <c r="B63" s="2" t="inlineStr">
        <is>
          <t xml:space="preserve">Jersey Mikes 3265 Oak Island NC</t>
        </is>
      </c>
      <c r="C63" s="2" t="inlineStr">
        <is>
          <t xml:space="preserve">Restaurants &amp; Takeout</t>
        </is>
      </c>
      <c r="D63" s="2" t="inlineStr">
        <is>
          <t xml:space="preserve">Food</t>
        </is>
      </c>
      <c r="E63" s="3">
        <v>22.94</v>
      </c>
    </row>
    <row r="64">
      <c r="A64" s="4">
        <v>46185</v>
      </c>
      <c r="B64" s="2" t="inlineStr">
        <is>
          <t xml:space="preserve">Lowes Foods #27 Southport NC</t>
        </is>
      </c>
      <c r="C64" s="2" t="inlineStr">
        <is>
          <t xml:space="preserve">Grocery – Lowes Foods</t>
        </is>
      </c>
      <c r="D64" s="2" t="inlineStr">
        <is>
          <t xml:space="preserve">Groceries</t>
        </is>
      </c>
      <c r="E64" s="3">
        <v>370.59</v>
      </c>
    </row>
    <row r="65">
      <c r="A65" s="4">
        <v>46188</v>
      </c>
      <c r="B65" s="2" t="inlineStr">
        <is>
          <t xml:space="preserve">Espn 800-7271800 NY</t>
        </is>
      </c>
      <c r="C65" s="2" t="inlineStr">
        <is>
          <t xml:space="preserve">Streaming – ESPN (Sept billed as Disney Plus)</t>
        </is>
      </c>
      <c r="D65" s="2" t="inlineStr">
        <is>
          <t xml:space="preserve">Streaming</t>
        </is>
      </c>
      <c r="E65" s="3">
        <v>13.87</v>
      </c>
    </row>
    <row r="66">
      <c r="A66" s="4">
        <v>46188</v>
      </c>
      <c r="B66" s="2" t="inlineStr">
        <is>
          <t xml:space="preserve">DD *Doordash Sanfe</t>
        </is>
      </c>
      <c r="C66" s="2" t="inlineStr">
        <is>
          <t xml:space="preserve">Restaurants &amp; Takeout</t>
        </is>
      </c>
      <c r="D66" s="2" t="inlineStr">
        <is>
          <t xml:space="preserve">Food</t>
        </is>
      </c>
      <c r="E66" s="3">
        <v>50.42</v>
      </c>
    </row>
    <row r="67">
      <c r="A67" s="4">
        <v>46188</v>
      </c>
      <c r="B67" s="2" t="inlineStr">
        <is>
          <t xml:space="preserve">Invoicesimple</t>
        </is>
      </c>
      <c r="C67" s="2" t="inlineStr">
        <is>
          <t xml:space="preserve">Software &amp; Online Subscriptions</t>
        </is>
      </c>
      <c r="D67" s="2" t="inlineStr">
        <is>
          <t xml:space="preserve">Subscriptions</t>
        </is>
      </c>
      <c r="E67" s="3">
        <v>4.99</v>
      </c>
    </row>
    <row r="68">
      <c r="A68" s="4">
        <v>46188</v>
      </c>
      <c r="B68" s="2" t="inlineStr">
        <is>
          <t xml:space="preserve">Dept Education Student Ln 0000</t>
        </is>
      </c>
      <c r="C68" s="2" t="inlineStr">
        <is>
          <t xml:space="preserve">Student Loan (Dept of Education)</t>
        </is>
      </c>
      <c r="D68" s="2" t="inlineStr">
        <is>
          <t xml:space="preserve">Student Loan</t>
        </is>
      </c>
      <c r="E68" s="3">
        <v>160.37</v>
      </c>
    </row>
    <row r="69">
      <c r="A69" s="4">
        <v>46189</v>
      </c>
      <c r="B69" s="2" t="inlineStr">
        <is>
          <t xml:space="preserve">Lowe's Foods #1 Oak Island NC</t>
        </is>
      </c>
      <c r="C69" s="2" t="inlineStr">
        <is>
          <t xml:space="preserve">Grocery – Lowes Foods</t>
        </is>
      </c>
      <c r="D69" s="2" t="inlineStr">
        <is>
          <t xml:space="preserve">Groceries</t>
        </is>
      </c>
      <c r="E69" s="3">
        <v>54.04</v>
      </c>
    </row>
    <row r="70">
      <c r="A70" s="4">
        <v>46189</v>
      </c>
      <c r="B70" s="2" t="inlineStr">
        <is>
          <t xml:space="preserve">Bp#2000867Rods Wadesboro</t>
        </is>
      </c>
      <c r="C70" s="2" t="inlineStr">
        <is>
          <t xml:space="preserve">Gas &amp; Convenience Stores</t>
        </is>
      </c>
      <c r="D70" s="2" t="inlineStr">
        <is>
          <t xml:space="preserve">Transportation</t>
        </is>
      </c>
      <c r="E70" s="3">
        <v>8.54</v>
      </c>
    </row>
    <row r="71">
      <c r="A71" s="4">
        <v>46189</v>
      </c>
      <c r="B71" s="2" t="inlineStr">
        <is>
          <t xml:space="preserve">A&amp;D Mortgage LLC Re Payment</t>
        </is>
      </c>
      <c r="C71" s="2" t="inlineStr">
        <is>
          <t xml:space="preserve">A&amp;D Mortgage</t>
        </is>
      </c>
      <c r="D71" s="2" t="inlineStr">
        <is>
          <t xml:space="preserve">Housing</t>
        </is>
      </c>
      <c r="E71" s="3">
        <v>3411.1</v>
      </c>
    </row>
    <row r="72">
      <c r="A72" s="4">
        <v>46190</v>
      </c>
      <c r="B72" s="2" t="inlineStr">
        <is>
          <t xml:space="preserve">Tst*Lucca Italian Shallotte NC</t>
        </is>
      </c>
      <c r="C72" s="2" t="inlineStr">
        <is>
          <t xml:space="preserve">Restaurants &amp; Takeout</t>
        </is>
      </c>
      <c r="D72" s="2" t="inlineStr">
        <is>
          <t xml:space="preserve">Food</t>
        </is>
      </c>
      <c r="E72" s="3">
        <v>77.05</v>
      </c>
    </row>
    <row r="73">
      <c r="A73" s="4">
        <v>46190</v>
      </c>
      <c r="B73" s="2" t="inlineStr">
        <is>
          <t xml:space="preserve">DD/Br #338554 Q35 Little River</t>
        </is>
      </c>
      <c r="C73" s="2" t="inlineStr">
        <is>
          <t xml:space="preserve">Restaurants &amp; Takeout</t>
        </is>
      </c>
      <c r="D73" s="2" t="inlineStr">
        <is>
          <t xml:space="preserve">Food</t>
        </is>
      </c>
      <c r="E73" s="3">
        <v>11.23</v>
      </c>
    </row>
    <row r="74">
      <c r="A74" s="4">
        <v>46190</v>
      </c>
      <c r="B74" s="2" t="inlineStr">
        <is>
          <t xml:space="preserve">Publix #1703 Oak Island NC</t>
        </is>
      </c>
      <c r="C74" s="2" t="inlineStr">
        <is>
          <t xml:space="preserve">Grocery – Publix</t>
        </is>
      </c>
      <c r="D74" s="2" t="inlineStr">
        <is>
          <t xml:space="preserve">Groceries</t>
        </is>
      </c>
      <c r="E74" s="3">
        <v>120.71</v>
      </c>
    </row>
    <row r="75">
      <c r="A75" s="4">
        <v>46190</v>
      </c>
      <c r="B75" s="2" t="inlineStr">
        <is>
          <t xml:space="preserve">Tst*Little Pigs Bb Myrtle Beach</t>
        </is>
      </c>
      <c r="C75" s="2" t="inlineStr">
        <is>
          <t xml:space="preserve">Restaurants &amp; Takeout</t>
        </is>
      </c>
      <c r="D75" s="2" t="inlineStr">
        <is>
          <t xml:space="preserve">Food</t>
        </is>
      </c>
      <c r="E75" s="3">
        <v>15.47</v>
      </c>
    </row>
    <row r="76">
      <c r="A76" s="4">
        <v>46190</v>
      </c>
      <c r="B76" s="2" t="inlineStr">
        <is>
          <t xml:space="preserve">Harris Teeter #0258 Charlotte</t>
        </is>
      </c>
      <c r="C76" s="2" t="inlineStr">
        <is>
          <t xml:space="preserve">Other Food Stores (Harris Teeter, Beach Pantry)</t>
        </is>
      </c>
      <c r="D76" s="2" t="inlineStr">
        <is>
          <t xml:space="preserve">Food</t>
        </is>
      </c>
      <c r="E76" s="3">
        <v>177.33</v>
      </c>
    </row>
    <row r="77">
      <c r="A77" s="4">
        <v>46190</v>
      </c>
      <c r="B77" s="2" t="inlineStr">
        <is>
          <t xml:space="preserve">Harris Teeter #2 8644 Uni</t>
        </is>
      </c>
      <c r="C77" s="2" t="inlineStr">
        <is>
          <t xml:space="preserve">Other Food Stores (Harris Teeter, Beach Pantry)</t>
        </is>
      </c>
      <c r="D77" s="2" t="inlineStr">
        <is>
          <t xml:space="preserve">Food</t>
        </is>
      </c>
      <c r="E77" s="3">
        <v>86.02</v>
      </c>
    </row>
    <row r="78">
      <c r="A78" s="4">
        <v>46190</v>
      </c>
      <c r="B78" s="2" t="inlineStr">
        <is>
          <t xml:space="preserve">+Lincoln Nationa EDI Pymnt</t>
        </is>
      </c>
      <c r="C78" s="2" t="inlineStr">
        <is>
          <t xml:space="preserve">Life Insurance (Lincoln National)</t>
        </is>
      </c>
      <c r="D78" s="2" t="inlineStr">
        <is>
          <t xml:space="preserve">Insurance</t>
        </is>
      </c>
      <c r="E78" s="3">
        <v>79.21</v>
      </c>
    </row>
    <row r="79">
      <c r="A79" s="4">
        <v>46191</v>
      </c>
      <c r="B79" s="2" t="inlineStr">
        <is>
          <t xml:space="preserve">Blaze Pizza #1196 Charlotte NC</t>
        </is>
      </c>
      <c r="C79" s="2" t="inlineStr">
        <is>
          <t xml:space="preserve">Restaurants &amp; Takeout</t>
        </is>
      </c>
      <c r="D79" s="2" t="inlineStr">
        <is>
          <t xml:space="preserve">Food</t>
        </is>
      </c>
      <c r="E79" s="3">
        <v>16.17</v>
      </c>
    </row>
    <row r="80">
      <c r="A80" s="4">
        <v>46191</v>
      </c>
      <c r="B80" s="2" t="inlineStr">
        <is>
          <t xml:space="preserve">Tst* Famous Toaste Charlotte NC</t>
        </is>
      </c>
      <c r="C80" s="2" t="inlineStr">
        <is>
          <t xml:space="preserve">Restaurants &amp; Takeout</t>
        </is>
      </c>
      <c r="D80" s="2" t="inlineStr">
        <is>
          <t xml:space="preserve">Food</t>
        </is>
      </c>
      <c r="E80" s="3">
        <v>43.94</v>
      </c>
    </row>
    <row r="81">
      <c r="A81" s="4">
        <v>46191</v>
      </c>
      <c r="B81" s="2" t="inlineStr">
        <is>
          <t xml:space="preserve">Adobe Inc</t>
        </is>
      </c>
      <c r="C81" s="2" t="inlineStr">
        <is>
          <t xml:space="preserve">Software &amp; Online Subscriptions</t>
        </is>
      </c>
      <c r="D81" s="2" t="inlineStr">
        <is>
          <t xml:space="preserve">Subscriptions</t>
        </is>
      </c>
      <c r="E81" s="3">
        <v>75.06</v>
      </c>
    </row>
    <row r="82">
      <c r="A82" s="4">
        <v>46191</v>
      </c>
      <c r="B82" s="2" t="inlineStr">
        <is>
          <t xml:space="preserve">Coastal Carolina C Southport NC</t>
        </is>
      </c>
      <c r="C82" s="2" t="inlineStr">
        <is>
          <t xml:space="preserve">Retail – Local shops (Hippie Chick, Southport Spices, Mad River, Coastal Carolina)</t>
        </is>
      </c>
      <c r="D82" s="2" t="inlineStr">
        <is>
          <t xml:space="preserve">Retail</t>
        </is>
      </c>
      <c r="E82" s="3">
        <v>23.7</v>
      </c>
    </row>
    <row r="83">
      <c r="A83" s="4">
        <v>46191</v>
      </c>
      <c r="B83" s="2" t="inlineStr">
        <is>
          <t xml:space="preserve">Ls Mad River 186-69321801 NC</t>
        </is>
      </c>
      <c r="C83" s="2" t="inlineStr">
        <is>
          <t xml:space="preserve">Retail – Local shops (Hippie Chick, Southport Spices, Mad River, Coastal Carolina)</t>
        </is>
      </c>
      <c r="D83" s="2" t="inlineStr">
        <is>
          <t xml:space="preserve">Retail</t>
        </is>
      </c>
      <c r="E83" s="3">
        <v>42.7</v>
      </c>
    </row>
    <row r="84">
      <c r="A84" s="4">
        <v>46191</v>
      </c>
      <c r="B84" s="2" t="inlineStr">
        <is>
          <t xml:space="preserve">Lowe's Foods #1 Oak Island NC</t>
        </is>
      </c>
      <c r="C84" s="2" t="inlineStr">
        <is>
          <t xml:space="preserve">Grocery – Lowes Foods</t>
        </is>
      </c>
      <c r="D84" s="2" t="inlineStr">
        <is>
          <t xml:space="preserve">Groceries</t>
        </is>
      </c>
      <c r="E84" s="3">
        <v>54.62</v>
      </c>
    </row>
    <row r="85">
      <c r="A85" s="4">
        <v>46191</v>
      </c>
      <c r="B85" s="2" t="inlineStr">
        <is>
          <t xml:space="preserve">Target T-1081 Charlotte NC</t>
        </is>
      </c>
      <c r="C85" s="2" t="inlineStr">
        <is>
          <t xml:space="preserve">Retail – Target</t>
        </is>
      </c>
      <c r="D85" s="2" t="inlineStr">
        <is>
          <t xml:space="preserve">Retail</t>
        </is>
      </c>
      <c r="E85" s="3">
        <v>58.98</v>
      </c>
    </row>
    <row r="86">
      <c r="A86" s="4">
        <v>46195</v>
      </c>
      <c r="B86" s="2" t="inlineStr">
        <is>
          <t xml:space="preserve">Tst* Boardwalk Bil Charlotte NC</t>
        </is>
      </c>
      <c r="C86" s="2" t="inlineStr">
        <is>
          <t xml:space="preserve">Restaurants &amp; Takeout</t>
        </is>
      </c>
      <c r="D86" s="2" t="inlineStr">
        <is>
          <t xml:space="preserve">Food</t>
        </is>
      </c>
      <c r="E86" s="3">
        <v>21.12</v>
      </c>
    </row>
    <row r="87">
      <c r="A87" s="4">
        <v>46195</v>
      </c>
      <c r="B87" s="2" t="inlineStr">
        <is>
          <t xml:space="preserve">Tst* Boardwalk Bil Charlotte NC</t>
        </is>
      </c>
      <c r="C87" s="2" t="inlineStr">
        <is>
          <t xml:space="preserve">Restaurants &amp; Takeout</t>
        </is>
      </c>
      <c r="D87" s="2" t="inlineStr">
        <is>
          <t xml:space="preserve">Food</t>
        </is>
      </c>
      <c r="E87" s="3">
        <v>71.4</v>
      </c>
    </row>
    <row r="88">
      <c r="A88" s="4">
        <v>46195</v>
      </c>
      <c r="B88" s="2" t="inlineStr">
        <is>
          <t xml:space="preserve">Hilton Charlotte U Charlotte NC</t>
        </is>
      </c>
      <c r="C88" s="2" t="inlineStr">
        <is>
          <t xml:space="preserve">Travel (Lyft, Hotel)</t>
        </is>
      </c>
      <c r="D88" s="2" t="inlineStr">
        <is>
          <t xml:space="preserve">Travel</t>
        </is>
      </c>
      <c r="E88" s="3">
        <v>13.09</v>
      </c>
    </row>
    <row r="89">
      <c r="A89" s="4">
        <v>46195</v>
      </c>
      <c r="B89" s="2" t="inlineStr">
        <is>
          <t xml:space="preserve">Hilton Charlotte U Charlotte NC</t>
        </is>
      </c>
      <c r="C89" s="2" t="inlineStr">
        <is>
          <t xml:space="preserve">Travel (Lyft, Hotel)</t>
        </is>
      </c>
      <c r="D89" s="2" t="inlineStr">
        <is>
          <t xml:space="preserve">Travel</t>
        </is>
      </c>
      <c r="E89" s="3">
        <v>15.94</v>
      </c>
    </row>
    <row r="90">
      <c r="A90" s="4">
        <v>46195</v>
      </c>
      <c r="B90" s="2" t="inlineStr">
        <is>
          <t xml:space="preserve">Chipotle 3125 Charlotte NC</t>
        </is>
      </c>
      <c r="C90" s="2" t="inlineStr">
        <is>
          <t xml:space="preserve">Restaurants &amp; Takeout</t>
        </is>
      </c>
      <c r="D90" s="2" t="inlineStr">
        <is>
          <t xml:space="preserve">Food</t>
        </is>
      </c>
      <c r="E90" s="3">
        <v>27.17</v>
      </c>
    </row>
    <row r="91">
      <c r="A91" s="4">
        <v>46195</v>
      </c>
      <c r="B91" s="2" t="inlineStr">
        <is>
          <t xml:space="preserve">Lyft *Standard 0 Lyft.Com CA</t>
        </is>
      </c>
      <c r="C91" s="2" t="inlineStr">
        <is>
          <t xml:space="preserve">Travel (Lyft, Hotel)</t>
        </is>
      </c>
      <c r="D91" s="2" t="inlineStr">
        <is>
          <t xml:space="preserve">Travel</t>
        </is>
      </c>
      <c r="E91" s="3">
        <v>14.99</v>
      </c>
    </row>
    <row r="92">
      <c r="A92" s="4">
        <v>46195</v>
      </c>
      <c r="B92" s="2" t="inlineStr">
        <is>
          <t xml:space="preserve">Tst*Johnny Dollars Charlotte NC</t>
        </is>
      </c>
      <c r="C92" s="2" t="inlineStr">
        <is>
          <t xml:space="preserve">Restaurants &amp; Takeout</t>
        </is>
      </c>
      <c r="D92" s="2" t="inlineStr">
        <is>
          <t xml:space="preserve">Food</t>
        </is>
      </c>
      <c r="E92" s="3">
        <v>22.99</v>
      </c>
    </row>
    <row r="93">
      <c r="A93" s="4">
        <v>46195</v>
      </c>
      <c r="B93" s="2" t="inlineStr">
        <is>
          <t xml:space="preserve">Tst*The Brickyard Charlotte NC</t>
        </is>
      </c>
      <c r="C93" s="2" t="inlineStr">
        <is>
          <t xml:space="preserve">Restaurants &amp; Takeout</t>
        </is>
      </c>
      <c r="D93" s="2" t="inlineStr">
        <is>
          <t xml:space="preserve">Food</t>
        </is>
      </c>
      <c r="E93" s="3">
        <v>9.24</v>
      </c>
    </row>
    <row r="94">
      <c r="A94" s="4">
        <v>46195</v>
      </c>
      <c r="B94" s="2" t="inlineStr">
        <is>
          <t xml:space="preserve">Tst*The Brickyard Charlotte NC</t>
        </is>
      </c>
      <c r="C94" s="2" t="inlineStr">
        <is>
          <t xml:space="preserve">Restaurants &amp; Takeout</t>
        </is>
      </c>
      <c r="D94" s="2" t="inlineStr">
        <is>
          <t xml:space="preserve">Food</t>
        </is>
      </c>
      <c r="E94" s="3">
        <v>9.24</v>
      </c>
    </row>
    <row r="95">
      <c r="A95" s="4">
        <v>46195</v>
      </c>
      <c r="B95" s="2" t="inlineStr">
        <is>
          <t xml:space="preserve">Tst*The Brickyard Charlotte NC</t>
        </is>
      </c>
      <c r="C95" s="2" t="inlineStr">
        <is>
          <t xml:space="preserve">Restaurants &amp; Takeout</t>
        </is>
      </c>
      <c r="D95" s="2" t="inlineStr">
        <is>
          <t xml:space="preserve">Food</t>
        </is>
      </c>
      <c r="E95" s="3">
        <v>9.24</v>
      </c>
    </row>
    <row r="96">
      <c r="A96" s="4">
        <v>46195</v>
      </c>
      <c r="B96" s="2" t="inlineStr">
        <is>
          <t xml:space="preserve">Tst*The Brickyard Charlotte NC</t>
        </is>
      </c>
      <c r="C96" s="2" t="inlineStr">
        <is>
          <t xml:space="preserve">Restaurants &amp; Takeout</t>
        </is>
      </c>
      <c r="D96" s="2" t="inlineStr">
        <is>
          <t xml:space="preserve">Food</t>
        </is>
      </c>
      <c r="E96" s="3">
        <v>9.24</v>
      </c>
    </row>
    <row r="97">
      <c r="A97" s="4">
        <v>46195</v>
      </c>
      <c r="B97" s="2" t="inlineStr">
        <is>
          <t xml:space="preserve">Tst*The Brickyard Charlotte NC</t>
        </is>
      </c>
      <c r="C97" s="2" t="inlineStr">
        <is>
          <t xml:space="preserve">Restaurants &amp; Takeout</t>
        </is>
      </c>
      <c r="D97" s="2" t="inlineStr">
        <is>
          <t xml:space="preserve">Food</t>
        </is>
      </c>
      <c r="E97" s="3">
        <v>8.59</v>
      </c>
    </row>
    <row r="98">
      <c r="A98" s="4">
        <v>46195</v>
      </c>
      <c r="B98" s="2" t="inlineStr">
        <is>
          <t xml:space="preserve">Tst*The Brickyard Charlotte NC</t>
        </is>
      </c>
      <c r="C98" s="2" t="inlineStr">
        <is>
          <t xml:space="preserve">Restaurants &amp; Takeout</t>
        </is>
      </c>
      <c r="D98" s="2" t="inlineStr">
        <is>
          <t xml:space="preserve">Food</t>
        </is>
      </c>
      <c r="E98" s="3">
        <v>9.24</v>
      </c>
    </row>
    <row r="99">
      <c r="A99" s="4">
        <v>46195</v>
      </c>
      <c r="B99" s="2" t="inlineStr">
        <is>
          <t xml:space="preserve">Tst*The Brickyard Charlotte NC</t>
        </is>
      </c>
      <c r="C99" s="2" t="inlineStr">
        <is>
          <t xml:space="preserve">Restaurants &amp; Takeout</t>
        </is>
      </c>
      <c r="D99" s="2" t="inlineStr">
        <is>
          <t xml:space="preserve">Food</t>
        </is>
      </c>
      <c r="E99" s="3">
        <v>8.91</v>
      </c>
    </row>
    <row r="100">
      <c r="A100" s="4">
        <v>46195</v>
      </c>
      <c r="B100" s="2" t="inlineStr">
        <is>
          <t xml:space="preserve">Tst*The Brickyard Charlotte NC</t>
        </is>
      </c>
      <c r="C100" s="2" t="inlineStr">
        <is>
          <t xml:space="preserve">Restaurants &amp; Takeout</t>
        </is>
      </c>
      <c r="D100" s="2" t="inlineStr">
        <is>
          <t xml:space="preserve">Food</t>
        </is>
      </c>
      <c r="E100" s="3">
        <v>9.24</v>
      </c>
    </row>
    <row r="101">
      <c r="A101" s="4">
        <v>46195</v>
      </c>
      <c r="B101" s="2" t="inlineStr">
        <is>
          <t xml:space="preserve">Lyft *Priority 0 Lyft.Com CA</t>
        </is>
      </c>
      <c r="C101" s="2" t="inlineStr">
        <is>
          <t xml:space="preserve">Travel (Lyft, Hotel)</t>
        </is>
      </c>
      <c r="D101" s="2" t="inlineStr">
        <is>
          <t xml:space="preserve">Travel</t>
        </is>
      </c>
      <c r="E101" s="3">
        <v>15.99</v>
      </c>
    </row>
    <row r="102">
      <c r="A102" s="4">
        <v>46195</v>
      </c>
      <c r="B102" s="2" t="inlineStr">
        <is>
          <t xml:space="preserve">Lyft *Standard 0 Lyft.Com CA</t>
        </is>
      </c>
      <c r="C102" s="2" t="inlineStr">
        <is>
          <t xml:space="preserve">Travel (Lyft, Hotel)</t>
        </is>
      </c>
      <c r="D102" s="2" t="inlineStr">
        <is>
          <t xml:space="preserve">Travel</t>
        </is>
      </c>
      <c r="E102" s="3">
        <v>36.96</v>
      </c>
    </row>
    <row r="103">
      <c r="A103" s="4">
        <v>46195</v>
      </c>
      <c r="B103" s="2" t="inlineStr">
        <is>
          <t xml:space="preserve">Hilton Charlotte U Charlotte NC</t>
        </is>
      </c>
      <c r="C103" s="2" t="inlineStr">
        <is>
          <t xml:space="preserve">Travel (Lyft, Hotel)</t>
        </is>
      </c>
      <c r="D103" s="2" t="inlineStr">
        <is>
          <t xml:space="preserve">Travel</t>
        </is>
      </c>
      <c r="E103" s="3">
        <v>5.68</v>
      </c>
    </row>
    <row r="104">
      <c r="A104" s="4">
        <v>46195</v>
      </c>
      <c r="B104" s="2" t="inlineStr">
        <is>
          <t xml:space="preserve">Allstate *Paymn</t>
        </is>
      </c>
      <c r="C104" s="2" t="inlineStr">
        <is>
          <t xml:space="preserve">Allstate Insurance</t>
        </is>
      </c>
      <c r="D104" s="2" t="inlineStr">
        <is>
          <t xml:space="preserve">Insurance</t>
        </is>
      </c>
      <c r="E104" s="3">
        <v>360.42</v>
      </c>
    </row>
    <row r="105">
      <c r="A105" s="4">
        <v>46195</v>
      </c>
      <c r="B105" s="2" t="inlineStr">
        <is>
          <t xml:space="preserve">McDonald's F5192 Wadesboro</t>
        </is>
      </c>
      <c r="C105" s="2" t="inlineStr">
        <is>
          <t xml:space="preserve">Restaurants &amp; Takeout</t>
        </is>
      </c>
      <c r="D105" s="2" t="inlineStr">
        <is>
          <t xml:space="preserve">Food</t>
        </is>
      </c>
      <c r="E105" s="3">
        <v>8.66</v>
      </c>
    </row>
    <row r="106">
      <c r="A106" s="4">
        <v>46195</v>
      </c>
      <c r="B106" s="2" t="inlineStr">
        <is>
          <t xml:space="preserve">Anson Mart Citgo Wadesboro</t>
        </is>
      </c>
      <c r="C106" s="2" t="inlineStr">
        <is>
          <t xml:space="preserve">Gas &amp; Convenience Stores</t>
        </is>
      </c>
      <c r="D106" s="2" t="inlineStr">
        <is>
          <t xml:space="preserve">Transportation</t>
        </is>
      </c>
      <c r="E106" s="3">
        <v>30.0</v>
      </c>
    </row>
    <row r="107">
      <c r="A107" s="4">
        <v>46195</v>
      </c>
      <c r="B107" s="2" t="inlineStr">
        <is>
          <t xml:space="preserve">Bp#6458525Sam's Pi Bolton NC</t>
        </is>
      </c>
      <c r="C107" s="2" t="inlineStr">
        <is>
          <t xml:space="preserve">Gas &amp; Convenience Stores</t>
        </is>
      </c>
      <c r="D107" s="2" t="inlineStr">
        <is>
          <t xml:space="preserve">Transportation</t>
        </is>
      </c>
      <c r="E107" s="3">
        <v>5.58</v>
      </c>
    </row>
    <row r="108">
      <c r="A108" s="4">
        <v>46195</v>
      </c>
      <c r="B108" s="2" t="inlineStr">
        <is>
          <t xml:space="preserve">Apple.Com/Bill 866-712-7753</t>
        </is>
      </c>
      <c r="C108" s="2" t="inlineStr">
        <is>
          <t xml:space="preserve">Software &amp; Online Subscriptions</t>
        </is>
      </c>
      <c r="D108" s="2" t="inlineStr">
        <is>
          <t xml:space="preserve">Subscriptions</t>
        </is>
      </c>
      <c r="E108" s="3">
        <v>4.88</v>
      </c>
    </row>
    <row r="109">
      <c r="A109" s="4">
        <v>46195</v>
      </c>
      <c r="B109" s="2" t="inlineStr">
        <is>
          <t xml:space="preserve">Tst*Lucca Italian Shallotte NC</t>
        </is>
      </c>
      <c r="C109" s="2" t="inlineStr">
        <is>
          <t xml:space="preserve">Restaurants &amp; Takeout</t>
        </is>
      </c>
      <c r="D109" s="2" t="inlineStr">
        <is>
          <t xml:space="preserve">Food</t>
        </is>
      </c>
      <c r="E109" s="3">
        <v>20.94</v>
      </c>
    </row>
    <row r="110">
      <c r="A110" s="4">
        <v>46195</v>
      </c>
      <c r="B110" s="2" t="inlineStr">
        <is>
          <t xml:space="preserve">Roku for Peacock T</t>
        </is>
      </c>
      <c r="C110" s="2" t="inlineStr">
        <is>
          <t xml:space="preserve">Streaming – Peacock (via Roku)</t>
        </is>
      </c>
      <c r="D110" s="2" t="inlineStr">
        <is>
          <t xml:space="preserve">Streaming</t>
        </is>
      </c>
      <c r="E110" s="3">
        <v>11.73</v>
      </c>
    </row>
    <row r="111">
      <c r="A111" s="4">
        <v>46195</v>
      </c>
      <c r="B111" s="2" t="inlineStr">
        <is>
          <t xml:space="preserve">Cvs/Pharmacy #0738 South Port</t>
        </is>
      </c>
      <c r="C111" s="2" t="inlineStr">
        <is>
          <t xml:space="preserve">CVS Pharmacy</t>
        </is>
      </c>
      <c r="D111" s="2" t="inlineStr">
        <is>
          <t xml:space="preserve">Health</t>
        </is>
      </c>
      <c r="E111" s="3">
        <v>124.87</v>
      </c>
    </row>
    <row r="112">
      <c r="A112" s="4">
        <v>46195</v>
      </c>
      <c r="B112" s="2" t="inlineStr">
        <is>
          <t xml:space="preserve">Help.Hbomax.Com</t>
        </is>
      </c>
      <c r="C112" s="2" t="inlineStr">
        <is>
          <t xml:space="preserve">Streaming – HBO Max</t>
        </is>
      </c>
      <c r="D112" s="2" t="inlineStr">
        <is>
          <t xml:space="preserve">Streaming</t>
        </is>
      </c>
      <c r="E112" s="3">
        <v>19.74</v>
      </c>
    </row>
    <row r="113">
      <c r="A113" s="4">
        <v>46195</v>
      </c>
      <c r="B113" s="2" t="inlineStr">
        <is>
          <t xml:space="preserve">Cvs/Pharmacy #07382</t>
        </is>
      </c>
      <c r="C113" s="2" t="inlineStr">
        <is>
          <t xml:space="preserve">CVS Pharmacy</t>
        </is>
      </c>
      <c r="D113" s="2" t="inlineStr">
        <is>
          <t xml:space="preserve">Health</t>
        </is>
      </c>
      <c r="E113" s="3">
        <v>35.2</v>
      </c>
    </row>
    <row r="114">
      <c r="A114" s="4">
        <v>46195</v>
      </c>
      <c r="B114" s="2" t="inlineStr">
        <is>
          <t xml:space="preserve">Lowes Foods #27 Southport NC</t>
        </is>
      </c>
      <c r="C114" s="2" t="inlineStr">
        <is>
          <t xml:space="preserve">Grocery – Lowes Foods</t>
        </is>
      </c>
      <c r="D114" s="2" t="inlineStr">
        <is>
          <t xml:space="preserve">Groceries</t>
        </is>
      </c>
      <c r="E114" s="3">
        <v>225.63</v>
      </c>
    </row>
    <row r="115">
      <c r="A115" s="4">
        <v>46195</v>
      </c>
      <c r="B115" s="2" t="inlineStr">
        <is>
          <t xml:space="preserve">St James 7134 Pap</t>
        </is>
      </c>
      <c r="C115" s="2" t="inlineStr">
        <is>
          <t xml:space="preserve">St. James Membership (Club)</t>
        </is>
      </c>
      <c r="D115" s="2" t="inlineStr">
        <is>
          <t xml:space="preserve">Housing</t>
        </is>
      </c>
      <c r="E115" s="3">
        <v>1591.78</v>
      </c>
    </row>
    <row r="116">
      <c r="A116" s="4">
        <v>46195</v>
      </c>
      <c r="B116" s="2" t="inlineStr">
        <is>
          <t xml:space="preserve">Verizon Wireless Payments</t>
        </is>
      </c>
      <c r="C116" s="2" t="inlineStr">
        <is>
          <t xml:space="preserve">Verizon Wireless</t>
        </is>
      </c>
      <c r="D116" s="2" t="inlineStr">
        <is>
          <t xml:space="preserve">Phone &amp; Internet</t>
        </is>
      </c>
      <c r="E116" s="3">
        <v>294.57</v>
      </c>
    </row>
    <row r="117">
      <c r="A117" s="4">
        <v>46196</v>
      </c>
      <c r="B117" s="2" t="inlineStr">
        <is>
          <t xml:space="preserve">Ww Int'L-Digital</t>
        </is>
      </c>
      <c r="C117" s="2" t="inlineStr">
        <is>
          <t xml:space="preserve">Software &amp; Online Subscriptions</t>
        </is>
      </c>
      <c r="D117" s="2" t="inlineStr">
        <is>
          <t xml:space="preserve">Subscriptions</t>
        </is>
      </c>
      <c r="E117" s="3">
        <v>23.0</v>
      </c>
    </row>
    <row r="118">
      <c r="A118" s="4">
        <v>46196</v>
      </c>
      <c r="B118" s="2" t="inlineStr">
        <is>
          <t xml:space="preserve">Autobks*Nextgen LA</t>
        </is>
      </c>
      <c r="C118" s="2" t="inlineStr">
        <is>
          <t xml:space="preserve">Yard Company (NextGen)</t>
        </is>
      </c>
      <c r="D118" s="2" t="inlineStr">
        <is>
          <t xml:space="preserve">Home</t>
        </is>
      </c>
      <c r="E118" s="3">
        <v>60.0</v>
      </c>
    </row>
    <row r="119">
      <c r="A119" s="4">
        <v>46197</v>
      </c>
      <c r="B119" s="2" t="inlineStr">
        <is>
          <t xml:space="preserve">The Color Bar Hair Oak Island NC</t>
        </is>
      </c>
      <c r="C119" s="2" t="inlineStr">
        <is>
          <t xml:space="preserve">Haircuts – The Color Bar</t>
        </is>
      </c>
      <c r="D119" s="2" t="inlineStr">
        <is>
          <t xml:space="preserve">Personal</t>
        </is>
      </c>
      <c r="E119" s="3">
        <v>32.5</v>
      </c>
    </row>
    <row r="120">
      <c r="A120" s="8"/>
      <c r="B120" s="8"/>
      <c r="C120" s="8"/>
      <c r="D120" s="8" t="inlineStr">
        <is>
          <t xml:space="preserve">Total spending</t>
        </is>
      </c>
      <c r="E120" s="9">
        <f>SUMIF(D4:D119,"&lt;&gt;Excluded",E4:E119)</f>
        <v>12135.81</v>
      </c>
    </row>
    <row r="121">
      <c r="D121" s="7" t="inlineStr">
        <is>
          <t xml:space="preserve">Not counted (Excluded)</t>
        </is>
      </c>
      <c r="E121" s="6">
        <f>SUMIF(D4:D119,"Excluded",E4:E119)</f>
        <v>5206.0</v>
      </c>
    </row>
  </sheetData>
  <autoFilter ref="A3:E119"/>
  <pageMargins left="0.5" right="0.5" top="0.6" bottom="0.6" header="0.3" footer="0.3"/>
  <pageSetup orientation="landscape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3" topLeftCell="A4" activePane="bottomLeft" state="frozen"/>
    </sheetView>
  </sheetViews>
  <sheetFormatPr defaultRowHeight="15"/>
  <cols>
    <col min="1" max="1" width="11" customWidth="1"/>
    <col min="2" max="2" width="50" customWidth="1"/>
    <col min="3" max="3" width="38" customWidth="1"/>
    <col min="4" max="4" width="16" customWidth="1"/>
    <col min="5" max="5" width="13" customWidth="1"/>
    <col min="6" max="6" width="3" customWidth="1"/>
    <col min="7" max="7" width="40" customWidth="1"/>
    <col min="8" max="8" width="14" customWidth="1"/>
  </cols>
  <sheetData>
    <row r="1">
      <c r="A1" s="10" t="inlineStr">
        <is>
          <t xml:space="preserve">July 2026 Spending — statement period 6/25–7/23/26</t>
        </is>
      </c>
    </row>
    <row r="3">
      <c r="A3" s="1" t="inlineStr">
        <is>
          <t xml:space="preserve">Date</t>
        </is>
      </c>
      <c r="B3" s="15" t="inlineStr">
        <is>
          <t xml:space="preserve">Description</t>
        </is>
      </c>
      <c r="C3" s="1" t="inlineStr">
        <is>
          <t xml:space="preserve">Category</t>
        </is>
      </c>
      <c r="D3" s="1" t="inlineStr">
        <is>
          <t xml:space="preserve">Group</t>
        </is>
      </c>
      <c r="E3" s="1" t="inlineStr">
        <is>
          <t xml:space="preserve">Amount</t>
        </is>
      </c>
      <c r="G3" s="15" t="inlineStr">
        <is>
          <t xml:space="preserve">Category subtotals (this month)</t>
        </is>
      </c>
      <c r="H3" s="1" t="inlineStr">
        <is>
          <t xml:space="preserve">Amount</t>
        </is>
      </c>
    </row>
    <row r="4">
      <c r="A4" s="4">
        <v>46198</v>
      </c>
      <c r="B4" s="2" t="inlineStr">
        <is>
          <t xml:space="preserve">Propertyrecs.Com</t>
        </is>
      </c>
      <c r="C4" s="2" t="inlineStr">
        <is>
          <t xml:space="preserve">Software &amp; Online Subscriptions</t>
        </is>
      </c>
      <c r="D4" s="2" t="inlineStr">
        <is>
          <t xml:space="preserve">Subscriptions</t>
        </is>
      </c>
      <c r="E4" s="3">
        <v>20.0</v>
      </c>
      <c r="G4" s="2" t="inlineStr">
        <is>
          <t xml:space="preserve">A&amp;D Mortgage</t>
        </is>
      </c>
      <c r="H4" s="3">
        <f>SUMIF($C$4:$C$127,G4,$E$4:$E$127)</f>
        <v>3411.1</v>
      </c>
    </row>
    <row r="5">
      <c r="A5" s="4">
        <v>46198</v>
      </c>
      <c r="B5" s="2" t="inlineStr">
        <is>
          <t xml:space="preserve">Jersey Mikes 3177 Southport NC</t>
        </is>
      </c>
      <c r="C5" s="2" t="inlineStr">
        <is>
          <t xml:space="preserve">Restaurants &amp; Takeout</t>
        </is>
      </c>
      <c r="D5" s="2" t="inlineStr">
        <is>
          <t xml:space="preserve">Food</t>
        </is>
      </c>
      <c r="E5" s="3">
        <v>15.2</v>
      </c>
      <c r="G5" s="2" t="inlineStr">
        <is>
          <t xml:space="preserve">St. James Membership (Club)</t>
        </is>
      </c>
      <c r="H5" s="3">
        <f>SUMIF($C$4:$C$127,G5,$E$4:$E$127)</f>
        <v>1601.56</v>
      </c>
    </row>
    <row r="6">
      <c r="A6" s="4">
        <v>46198</v>
      </c>
      <c r="B6" s="2" t="inlineStr">
        <is>
          <t xml:space="preserve">Apple.Com/Bill</t>
        </is>
      </c>
      <c r="C6" s="2" t="inlineStr">
        <is>
          <t xml:space="preserve">Software &amp; Online Subscriptions</t>
        </is>
      </c>
      <c r="D6" s="2" t="inlineStr">
        <is>
          <t xml:space="preserve">Subscriptions</t>
        </is>
      </c>
      <c r="E6" s="3">
        <v>2.99</v>
      </c>
      <c r="G6" s="2" t="inlineStr">
        <is>
          <t xml:space="preserve">Retail – Belk (store card payments)</t>
        </is>
      </c>
      <c r="H6" s="3">
        <f>SUMIF($C$4:$C$127,G6,$E$4:$E$127)</f>
        <v>948.04</v>
      </c>
    </row>
    <row r="7">
      <c r="A7" s="4">
        <v>46198</v>
      </c>
      <c r="B7" s="2" t="inlineStr">
        <is>
          <t xml:space="preserve">Shell Service Station Little River</t>
        </is>
      </c>
      <c r="C7" s="2" t="inlineStr">
        <is>
          <t xml:space="preserve">Gas &amp; Convenience Stores</t>
        </is>
      </c>
      <c r="D7" s="2" t="inlineStr">
        <is>
          <t xml:space="preserve">Transportation</t>
        </is>
      </c>
      <c r="E7" s="3">
        <v>46.84</v>
      </c>
      <c r="G7" s="2" t="inlineStr">
        <is>
          <t xml:space="preserve">Restaurants &amp; Takeout</t>
        </is>
      </c>
      <c r="H7" s="3">
        <f>SUMIF($C$4:$C$127,G7,$E$4:$E$127)</f>
        <v>909.94</v>
      </c>
    </row>
    <row r="8">
      <c r="A8" s="4">
        <v>46198</v>
      </c>
      <c r="B8" s="2" t="inlineStr">
        <is>
          <t xml:space="preserve">Hulu Santa Monica CA</t>
        </is>
      </c>
      <c r="C8" s="2" t="inlineStr">
        <is>
          <t xml:space="preserve">Streaming – Hulu</t>
        </is>
      </c>
      <c r="D8" s="2" t="inlineStr">
        <is>
          <t xml:space="preserve">Streaming</t>
        </is>
      </c>
      <c r="E8" s="3">
        <v>12.8</v>
      </c>
      <c r="G8" s="2" t="inlineStr">
        <is>
          <t xml:space="preserve">Transfers to People (Venmo/Zelle)</t>
        </is>
      </c>
      <c r="H8" s="3">
        <f>SUMIF($C$4:$C$127,G8,$E$4:$E$127)</f>
        <v>764.05</v>
      </c>
    </row>
    <row r="9">
      <c r="A9" s="4">
        <v>46198</v>
      </c>
      <c r="B9" s="2" t="inlineStr">
        <is>
          <t xml:space="preserve">Circle K # 23140 Little River SC</t>
        </is>
      </c>
      <c r="C9" s="2" t="inlineStr">
        <is>
          <t xml:space="preserve">Gas &amp; Convenience Stores</t>
        </is>
      </c>
      <c r="D9" s="2" t="inlineStr">
        <is>
          <t xml:space="preserve">Transportation</t>
        </is>
      </c>
      <c r="E9" s="3">
        <v>5.78</v>
      </c>
      <c r="G9" s="2" t="inlineStr">
        <is>
          <t xml:space="preserve">Banner Life Insurance</t>
        </is>
      </c>
      <c r="H9" s="3">
        <f>SUMIF($C$4:$C$127,G9,$E$4:$E$127)</f>
        <v>710.06</v>
      </c>
    </row>
    <row r="10">
      <c r="A10" s="4">
        <v>46198</v>
      </c>
      <c r="B10" s="2" t="inlineStr">
        <is>
          <t xml:space="preserve">Lowes Food #235 Bolivia NC</t>
        </is>
      </c>
      <c r="C10" s="2" t="inlineStr">
        <is>
          <t xml:space="preserve">Grocery – Lowes Foods</t>
        </is>
      </c>
      <c r="D10" s="2" t="inlineStr">
        <is>
          <t xml:space="preserve">Groceries</t>
        </is>
      </c>
      <c r="E10" s="3">
        <v>2.14</v>
      </c>
      <c r="G10" s="2" t="inlineStr">
        <is>
          <t xml:space="preserve">Grocery – Lowes Foods</t>
        </is>
      </c>
      <c r="H10" s="3">
        <f>SUMIF($C$4:$C$127,G10,$E$4:$E$127)</f>
        <v>611.14</v>
      </c>
    </row>
    <row r="11">
      <c r="A11" s="4">
        <v>46199</v>
      </c>
      <c r="B11" s="2" t="inlineStr">
        <is>
          <t xml:space="preserve">DD *Doordash Falco</t>
        </is>
      </c>
      <c r="C11" s="2" t="inlineStr">
        <is>
          <t xml:space="preserve">Restaurants &amp; Takeout</t>
        </is>
      </c>
      <c r="D11" s="2" t="inlineStr">
        <is>
          <t xml:space="preserve">Food</t>
        </is>
      </c>
      <c r="E11" s="3">
        <v>53.94</v>
      </c>
      <c r="G11" s="2" t="inlineStr">
        <is>
          <t xml:space="preserve">Allstate Insurance</t>
        </is>
      </c>
      <c r="H11" s="3">
        <f>SUMIF($C$4:$C$127,G11,$E$4:$E$127)</f>
        <v>360.42</v>
      </c>
    </row>
    <row r="12">
      <c r="A12" s="4">
        <v>46199</v>
      </c>
      <c r="B12" s="2" t="inlineStr">
        <is>
          <t xml:space="preserve">DD/Br #338554 Q35 Little River</t>
        </is>
      </c>
      <c r="C12" s="2" t="inlineStr">
        <is>
          <t xml:space="preserve">Restaurants &amp; Takeout</t>
        </is>
      </c>
      <c r="D12" s="2" t="inlineStr">
        <is>
          <t xml:space="preserve">Food</t>
        </is>
      </c>
      <c r="E12" s="3">
        <v>11.23</v>
      </c>
      <c r="G12" s="2" t="inlineStr">
        <is>
          <t xml:space="preserve">Grocery – Food Lion</t>
        </is>
      </c>
      <c r="H12" s="3">
        <f>SUMIF($C$4:$C$127,G12,$E$4:$E$127)</f>
        <v>336.67</v>
      </c>
    </row>
    <row r="13">
      <c r="A13" s="4">
        <v>46199</v>
      </c>
      <c r="B13" s="2" t="inlineStr">
        <is>
          <t xml:space="preserve">Openai *Chatgpt Su</t>
        </is>
      </c>
      <c r="C13" s="2" t="inlineStr">
        <is>
          <t xml:space="preserve">Software &amp; Online Subscriptions</t>
        </is>
      </c>
      <c r="D13" s="2" t="inlineStr">
        <is>
          <t xml:space="preserve">Subscriptions</t>
        </is>
      </c>
      <c r="E13" s="3">
        <v>20.0</v>
      </c>
      <c r="G13" s="2" t="inlineStr">
        <is>
          <t xml:space="preserve">Utility – Electric (BEMC)</t>
        </is>
      </c>
      <c r="H13" s="3">
        <f>SUMIF($C$4:$C$127,G13,$E$4:$E$127)</f>
        <v>336.35</v>
      </c>
    </row>
    <row r="14">
      <c r="A14" s="4">
        <v>46199</v>
      </c>
      <c r="B14" s="2" t="inlineStr">
        <is>
          <t xml:space="preserve">Chipotle 2810 Myrtle Beach SC</t>
        </is>
      </c>
      <c r="C14" s="2" t="inlineStr">
        <is>
          <t xml:space="preserve">Restaurants &amp; Takeout</t>
        </is>
      </c>
      <c r="D14" s="2" t="inlineStr">
        <is>
          <t xml:space="preserve">Food</t>
        </is>
      </c>
      <c r="E14" s="3">
        <v>36.74</v>
      </c>
      <c r="G14" s="2" t="inlineStr">
        <is>
          <t xml:space="preserve">Grocery – Publix</t>
        </is>
      </c>
      <c r="H14" s="3">
        <f>SUMIF($C$4:$C$127,G14,$E$4:$E$127)</f>
        <v>331.43</v>
      </c>
    </row>
    <row r="15">
      <c r="A15" s="4">
        <v>46199</v>
      </c>
      <c r="B15" s="2" t="inlineStr">
        <is>
          <t xml:space="preserve">Online Transfer to Dempsey M Wells Fargo Clear Access</t>
        </is>
      </c>
      <c r="C15" s="2" t="inlineStr">
        <is>
          <t xml:space="preserve">Transfer to Own WF Account</t>
        </is>
      </c>
      <c r="D15" s="2" t="inlineStr">
        <is>
          <t xml:space="preserve">Excluded</t>
        </is>
      </c>
      <c r="E15" s="3">
        <v>3.26</v>
      </c>
      <c r="G15" s="2" t="inlineStr">
        <is>
          <t xml:space="preserve">Verizon Wireless</t>
        </is>
      </c>
      <c r="H15" s="3">
        <f>SUMIF($C$4:$C$127,G15,$E$4:$E$127)</f>
        <v>294.8</v>
      </c>
    </row>
    <row r="16">
      <c r="A16" s="4">
        <v>46199</v>
      </c>
      <c r="B16" s="2" t="inlineStr">
        <is>
          <t xml:space="preserve">American Express ACH Pmt W8716</t>
        </is>
      </c>
      <c r="C16" s="2" t="inlineStr">
        <is>
          <t xml:space="preserve">Credit Card Payoff – American Express</t>
        </is>
      </c>
      <c r="D16" s="2" t="inlineStr">
        <is>
          <t xml:space="preserve">Excluded</t>
        </is>
      </c>
      <c r="E16" s="3">
        <v>226.19</v>
      </c>
      <c r="G16" s="2" t="inlineStr">
        <is>
          <t xml:space="preserve">Gas &amp; Convenience Stores</t>
        </is>
      </c>
      <c r="H16" s="3">
        <f>SUMIF($C$4:$C$127,G16,$E$4:$E$127)</f>
        <v>277.87</v>
      </c>
    </row>
    <row r="17">
      <c r="A17" s="4">
        <v>46199</v>
      </c>
      <c r="B17" s="2" t="inlineStr">
        <is>
          <t xml:space="preserve">American Express ACH Pmt W8252</t>
        </is>
      </c>
      <c r="C17" s="2" t="inlineStr">
        <is>
          <t xml:space="preserve">Credit Card Payoff – American Express</t>
        </is>
      </c>
      <c r="D17" s="2" t="inlineStr">
        <is>
          <t xml:space="preserve">Excluded</t>
        </is>
      </c>
      <c r="E17" s="3">
        <v>4000.9</v>
      </c>
      <c r="G17" s="2" t="inlineStr">
        <is>
          <t xml:space="preserve">Software &amp; Online Subscriptions</t>
        </is>
      </c>
      <c r="H17" s="3">
        <f>SUMIF($C$4:$C$127,G17,$E$4:$E$127)</f>
        <v>161.05</v>
      </c>
    </row>
    <row r="18">
      <c r="A18" s="4">
        <v>46202</v>
      </c>
      <c r="B18" s="2" t="inlineStr">
        <is>
          <t xml:space="preserve">Chick-Fil-A #04071 Leland NC</t>
        </is>
      </c>
      <c r="C18" s="2" t="inlineStr">
        <is>
          <t xml:space="preserve">Restaurants &amp; Takeout</t>
        </is>
      </c>
      <c r="D18" s="2" t="inlineStr">
        <is>
          <t xml:space="preserve">Food</t>
        </is>
      </c>
      <c r="E18" s="3">
        <v>9.06</v>
      </c>
      <c r="G18" s="2" t="inlineStr">
        <is>
          <t xml:space="preserve">Student Loan (Dept of Education)</t>
        </is>
      </c>
      <c r="H18" s="3">
        <f>SUMIF($C$4:$C$127,G18,$E$4:$E$127)</f>
        <v>160.37</v>
      </c>
    </row>
    <row r="19">
      <c r="A19" s="4">
        <v>46202</v>
      </c>
      <c r="B19" s="2" t="inlineStr">
        <is>
          <t xml:space="preserve">St. James Marina Southport NC</t>
        </is>
      </c>
      <c r="C19" s="2" t="inlineStr">
        <is>
          <t xml:space="preserve">St. James Marina</t>
        </is>
      </c>
      <c r="D19" s="2" t="inlineStr">
        <is>
          <t xml:space="preserve">Recreation</t>
        </is>
      </c>
      <c r="E19" s="3">
        <v>18.64</v>
      </c>
      <c r="G19" s="2" t="inlineStr">
        <is>
          <t xml:space="preserve">Home Services (Pest Control, Lawn Treatment)</t>
        </is>
      </c>
      <c r="H19" s="3">
        <f>SUMIF($C$4:$C$127,G19,$E$4:$E$127)</f>
        <v>142.05</v>
      </c>
    </row>
    <row r="20">
      <c r="A20" s="4">
        <v>46202</v>
      </c>
      <c r="B20" s="2" t="inlineStr">
        <is>
          <t xml:space="preserve">DD *Doordash Dairy</t>
        </is>
      </c>
      <c r="C20" s="2" t="inlineStr">
        <is>
          <t xml:space="preserve">Restaurants &amp; Takeout</t>
        </is>
      </c>
      <c r="D20" s="2" t="inlineStr">
        <is>
          <t xml:space="preserve">Food</t>
        </is>
      </c>
      <c r="E20" s="3">
        <v>33.46</v>
      </c>
      <c r="G20" s="2" t="inlineStr">
        <is>
          <t xml:space="preserve">Retail – Walmart</t>
        </is>
      </c>
      <c r="H20" s="3">
        <f>SUMIF($C$4:$C$127,G20,$E$4:$E$127)</f>
        <v>132.66</v>
      </c>
    </row>
    <row r="21">
      <c r="A21" s="4">
        <v>46202</v>
      </c>
      <c r="B21" s="2" t="inlineStr">
        <is>
          <t xml:space="preserve">McDonald's F33155 Leland NC</t>
        </is>
      </c>
      <c r="C21" s="2" t="inlineStr">
        <is>
          <t xml:space="preserve">Restaurants &amp; Takeout</t>
        </is>
      </c>
      <c r="D21" s="2" t="inlineStr">
        <is>
          <t xml:space="preserve">Food</t>
        </is>
      </c>
      <c r="E21" s="3">
        <v>14.28</v>
      </c>
      <c r="G21" s="2" t="inlineStr">
        <is>
          <t xml:space="preserve">CVS Pharmacy</t>
        </is>
      </c>
      <c r="H21" s="3">
        <f>SUMIF($C$4:$C$127,G21,$E$4:$E$127)</f>
        <v>100.93</v>
      </c>
    </row>
    <row r="22">
      <c r="A22" s="4">
        <v>46202</v>
      </c>
      <c r="B22" s="2" t="inlineStr">
        <is>
          <t xml:space="preserve">DD *Doordash Sanfe</t>
        </is>
      </c>
      <c r="C22" s="2" t="inlineStr">
        <is>
          <t xml:space="preserve">Restaurants &amp; Takeout</t>
        </is>
      </c>
      <c r="D22" s="2" t="inlineStr">
        <is>
          <t xml:space="preserve">Food</t>
        </is>
      </c>
      <c r="E22" s="3">
        <v>77.69</v>
      </c>
      <c r="G22" s="2" t="inlineStr">
        <is>
          <t xml:space="preserve">Streaming – YouTube TV (Google)</t>
        </is>
      </c>
      <c r="H22" s="3">
        <f>SUMIF($C$4:$C$127,G22,$E$4:$E$127)</f>
        <v>100.78</v>
      </c>
    </row>
    <row r="23">
      <c r="A23" s="4">
        <v>46202</v>
      </c>
      <c r="B23" s="2" t="inlineStr">
        <is>
          <t xml:space="preserve">Lowe's Foods #1 Oak Island NC</t>
        </is>
      </c>
      <c r="C23" s="2" t="inlineStr">
        <is>
          <t xml:space="preserve">Grocery – Lowes Foods</t>
        </is>
      </c>
      <c r="D23" s="2" t="inlineStr">
        <is>
          <t xml:space="preserve">Groceries</t>
        </is>
      </c>
      <c r="E23" s="3">
        <v>41.57</v>
      </c>
      <c r="G23" s="2" t="inlineStr">
        <is>
          <t xml:space="preserve">Yard Company (NextGen)</t>
        </is>
      </c>
      <c r="H23" s="3">
        <f>SUMIF($C$4:$C$127,G23,$E$4:$E$127)</f>
        <v>100.0</v>
      </c>
    </row>
    <row r="24">
      <c r="A24" s="4">
        <v>46202</v>
      </c>
      <c r="B24" s="2" t="inlineStr">
        <is>
          <t xml:space="preserve">Bojangles 49 Wallace NC</t>
        </is>
      </c>
      <c r="C24" s="2" t="inlineStr">
        <is>
          <t xml:space="preserve">Restaurants &amp; Takeout</t>
        </is>
      </c>
      <c r="D24" s="2" t="inlineStr">
        <is>
          <t xml:space="preserve">Food</t>
        </is>
      </c>
      <c r="E24" s="3">
        <v>6.24</v>
      </c>
      <c r="G24" s="2" t="inlineStr">
        <is>
          <t xml:space="preserve">Life Insurance (Lincoln National)</t>
        </is>
      </c>
      <c r="H24" s="3">
        <f>SUMIF($C$4:$C$127,G24,$E$4:$E$127)</f>
        <v>73.61</v>
      </c>
    </row>
    <row r="25">
      <c r="A25" s="4">
        <v>46202</v>
      </c>
      <c r="B25" s="2" t="inlineStr">
        <is>
          <t xml:space="preserve">Publix #1703 Oak Island NC</t>
        </is>
      </c>
      <c r="C25" s="2" t="inlineStr">
        <is>
          <t xml:space="preserve">Grocery – Publix</t>
        </is>
      </c>
      <c r="D25" s="2" t="inlineStr">
        <is>
          <t xml:space="preserve">Groceries</t>
        </is>
      </c>
      <c r="E25" s="3">
        <v>93.02</v>
      </c>
      <c r="G25" s="2" t="inlineStr">
        <is>
          <t xml:space="preserve">Dental Insurance – Delta Dental</t>
        </is>
      </c>
      <c r="H25" s="3">
        <f>SUMIF($C$4:$C$127,G25,$E$4:$E$127)</f>
        <v>69.36</v>
      </c>
    </row>
    <row r="26">
      <c r="A26" s="4">
        <v>46202</v>
      </c>
      <c r="B26" s="2" t="inlineStr">
        <is>
          <t xml:space="preserve">Google *Youtube Tv</t>
        </is>
      </c>
      <c r="C26" s="2" t="inlineStr">
        <is>
          <t xml:space="preserve">Streaming – YouTube TV (Google)</t>
        </is>
      </c>
      <c r="D26" s="2" t="inlineStr">
        <is>
          <t xml:space="preserve">Streaming</t>
        </is>
      </c>
      <c r="E26" s="3">
        <v>89.0</v>
      </c>
      <c r="G26" s="2" t="inlineStr">
        <is>
          <t xml:space="preserve">Retail – Dick's Sporting Goods</t>
        </is>
      </c>
      <c r="H26" s="3">
        <f>SUMIF($C$4:$C$127,G26,$E$4:$E$127)</f>
        <v>63.61</v>
      </c>
    </row>
    <row r="27">
      <c r="A27" s="4">
        <v>46202</v>
      </c>
      <c r="B27" s="2" t="inlineStr">
        <is>
          <t xml:space="preserve">Google *Youtube Tv</t>
        </is>
      </c>
      <c r="C27" s="2" t="inlineStr">
        <is>
          <t xml:space="preserve">Streaming – YouTube TV (Google)</t>
        </is>
      </c>
      <c r="D27" s="2" t="inlineStr">
        <is>
          <t xml:space="preserve">Streaming</t>
        </is>
      </c>
      <c r="E27" s="3">
        <v>11.78</v>
      </c>
      <c r="G27" s="2" t="inlineStr">
        <is>
          <t xml:space="preserve">St. James Marina</t>
        </is>
      </c>
      <c r="H27" s="3">
        <f>SUMIF($C$4:$C$127,G27,$E$4:$E$127)</f>
        <v>33.54</v>
      </c>
    </row>
    <row r="28">
      <c r="A28" s="4">
        <v>46202</v>
      </c>
      <c r="B28" s="2" t="inlineStr">
        <is>
          <t xml:space="preserve">Roku for Disney El</t>
        </is>
      </c>
      <c r="C28" s="2" t="inlineStr">
        <is>
          <t xml:space="preserve">Streaming – Disney (via Roku)</t>
        </is>
      </c>
      <c r="D28" s="2" t="inlineStr">
        <is>
          <t xml:space="preserve">Streaming</t>
        </is>
      </c>
      <c r="E28" s="3">
        <v>20.27</v>
      </c>
      <c r="G28" s="2" t="inlineStr">
        <is>
          <t xml:space="preserve">Medical – Granville Medical Center (Oxford)</t>
        </is>
      </c>
      <c r="H28" s="3">
        <f>SUMIF($C$4:$C$127,G28,$E$4:$E$127)</f>
        <v>25.16</v>
      </c>
    </row>
    <row r="29">
      <c r="A29" s="4">
        <v>46202</v>
      </c>
      <c r="B29" s="2" t="inlineStr">
        <is>
          <t xml:space="preserve">McDonald's F4663 Henderson</t>
        </is>
      </c>
      <c r="C29" s="2" t="inlineStr">
        <is>
          <t xml:space="preserve">Restaurants &amp; Takeout</t>
        </is>
      </c>
      <c r="D29" s="2" t="inlineStr">
        <is>
          <t xml:space="preserve">Food</t>
        </is>
      </c>
      <c r="E29" s="3">
        <v>8.74</v>
      </c>
      <c r="G29" s="2" t="inlineStr">
        <is>
          <t xml:space="preserve">Streaming – Frndly TV</t>
        </is>
      </c>
      <c r="H29" s="3">
        <f>SUMIF($C$4:$C$127,G29,$E$4:$E$127)</f>
        <v>22.41</v>
      </c>
    </row>
    <row r="30">
      <c r="A30" s="4">
        <v>46202</v>
      </c>
      <c r="B30" s="2" t="inlineStr">
        <is>
          <t xml:space="preserve">Wal-Mart #2256 Henderson NC</t>
        </is>
      </c>
      <c r="C30" s="2" t="inlineStr">
        <is>
          <t xml:space="preserve">Retail – Walmart</t>
        </is>
      </c>
      <c r="D30" s="2" t="inlineStr">
        <is>
          <t xml:space="preserve">Retail</t>
        </is>
      </c>
      <c r="E30" s="3">
        <v>57.43</v>
      </c>
      <c r="G30" s="2" t="inlineStr">
        <is>
          <t xml:space="preserve">Streaming – Disney (via Roku)</t>
        </is>
      </c>
      <c r="H30" s="3">
        <f>SUMIF($C$4:$C$127,G30,$E$4:$E$127)</f>
        <v>20.27</v>
      </c>
    </row>
    <row r="31">
      <c r="A31" s="4">
        <v>46202</v>
      </c>
      <c r="B31" s="2" t="inlineStr">
        <is>
          <t xml:space="preserve">Cvs/Pharmacy #07 07382--5</t>
        </is>
      </c>
      <c r="C31" s="2" t="inlineStr">
        <is>
          <t xml:space="preserve">CVS Pharmacy</t>
        </is>
      </c>
      <c r="D31" s="2" t="inlineStr">
        <is>
          <t xml:space="preserve">Health</t>
        </is>
      </c>
      <c r="E31" s="3">
        <v>14.99</v>
      </c>
      <c r="G31" s="2" t="inlineStr">
        <is>
          <t xml:space="preserve">Streaming – HBO Max</t>
        </is>
      </c>
      <c r="H31" s="3">
        <f>SUMIF($C$4:$C$127,G31,$E$4:$E$127)</f>
        <v>19.74</v>
      </c>
    </row>
    <row r="32">
      <c r="A32" s="4">
        <v>46202</v>
      </c>
      <c r="B32" s="2" t="inlineStr">
        <is>
          <t xml:space="preserve">WM Supercenter #2256</t>
        </is>
      </c>
      <c r="C32" s="2" t="inlineStr">
        <is>
          <t xml:space="preserve">Retail – Walmart</t>
        </is>
      </c>
      <c r="D32" s="2" t="inlineStr">
        <is>
          <t xml:space="preserve">Retail</t>
        </is>
      </c>
      <c r="E32" s="3">
        <v>19.06</v>
      </c>
      <c r="G32" s="2" t="inlineStr">
        <is>
          <t xml:space="preserve">Streaming – ESPN (Sept billed as Disney Plus)</t>
        </is>
      </c>
      <c r="H32" s="3">
        <f>SUMIF($C$4:$C$127,G32,$E$4:$E$127)</f>
        <v>13.87</v>
      </c>
    </row>
    <row r="33">
      <c r="A33" s="4">
        <v>46203</v>
      </c>
      <c r="B33" s="2" t="inlineStr">
        <is>
          <t xml:space="preserve">Mms-Granville Med Oxford NC</t>
        </is>
      </c>
      <c r="C33" s="2" t="inlineStr">
        <is>
          <t xml:space="preserve">Medical – Granville Medical Center (Oxford)</t>
        </is>
      </c>
      <c r="D33" s="2" t="inlineStr">
        <is>
          <t xml:space="preserve">Health</t>
        </is>
      </c>
      <c r="E33" s="3">
        <v>10.1</v>
      </c>
      <c r="G33" s="2" t="inlineStr">
        <is>
          <t xml:space="preserve">Streaming – Hulu</t>
        </is>
      </c>
      <c r="H33" s="3">
        <f>SUMIF($C$4:$C$127,G33,$E$4:$E$127)</f>
        <v>12.8</v>
      </c>
    </row>
    <row r="34">
      <c r="A34" s="4">
        <v>46203</v>
      </c>
      <c r="B34" s="2" t="inlineStr">
        <is>
          <t xml:space="preserve">Publix #1703 Oak Island NC</t>
        </is>
      </c>
      <c r="C34" s="2" t="inlineStr">
        <is>
          <t xml:space="preserve">Grocery – Publix</t>
        </is>
      </c>
      <c r="D34" s="2" t="inlineStr">
        <is>
          <t xml:space="preserve">Groceries</t>
        </is>
      </c>
      <c r="E34" s="3">
        <v>18.98</v>
      </c>
      <c r="G34" s="2" t="inlineStr">
        <is>
          <t xml:space="preserve">Streaming – Peacock (via Roku)</t>
        </is>
      </c>
      <c r="H34" s="3">
        <f>SUMIF($C$4:$C$127,G34,$E$4:$E$127)</f>
        <v>11.73</v>
      </c>
    </row>
    <row r="35">
      <c r="A35" s="4">
        <v>46204</v>
      </c>
      <c r="B35" s="2" t="inlineStr">
        <is>
          <t xml:space="preserve">Chick-Fil-A #0175 Henderson NC</t>
        </is>
      </c>
      <c r="C35" s="2" t="inlineStr">
        <is>
          <t xml:space="preserve">Restaurants &amp; Takeout</t>
        </is>
      </c>
      <c r="D35" s="2" t="inlineStr">
        <is>
          <t xml:space="preserve">Food</t>
        </is>
      </c>
      <c r="E35" s="3">
        <v>7.37</v>
      </c>
      <c r="G35" s="2" t="inlineStr">
        <is>
          <t xml:space="preserve">Retail – Dollar Tree / Dollar General</t>
        </is>
      </c>
      <c r="H35" s="3">
        <f>SUMIF($C$4:$C$127,G35,$E$4:$E$127)</f>
        <v>5.87</v>
      </c>
    </row>
    <row r="36">
      <c r="A36" s="4">
        <v>46204</v>
      </c>
      <c r="B36" s="2" t="inlineStr">
        <is>
          <t xml:space="preserve">Mms-Granville Med Oxford NC</t>
        </is>
      </c>
      <c r="C36" s="2" t="inlineStr">
        <is>
          <t xml:space="preserve">Medical – Granville Medical Center (Oxford)</t>
        </is>
      </c>
      <c r="D36" s="2" t="inlineStr">
        <is>
          <t xml:space="preserve">Health</t>
        </is>
      </c>
      <c r="E36" s="3">
        <v>8.85</v>
      </c>
      <c r="G36" s="8" t="inlineStr">
        <is>
          <t xml:space="preserve">Total spending</t>
        </is>
      </c>
      <c r="H36" s="9">
        <f>SUM(H4:H35)</f>
        <v>12163.24</v>
      </c>
    </row>
    <row r="37">
      <c r="A37" s="4">
        <v>46204</v>
      </c>
      <c r="B37" s="2" t="inlineStr">
        <is>
          <t xml:space="preserve">Taste of China Southport NC</t>
        </is>
      </c>
      <c r="C37" s="2" t="inlineStr">
        <is>
          <t xml:space="preserve">Restaurants &amp; Takeout</t>
        </is>
      </c>
      <c r="D37" s="2" t="inlineStr">
        <is>
          <t xml:space="preserve">Food</t>
        </is>
      </c>
      <c r="E37" s="3">
        <v>24.15</v>
      </c>
    </row>
    <row r="38">
      <c r="A38" s="4">
        <v>46204</v>
      </c>
      <c r="B38" s="2" t="inlineStr">
        <is>
          <t xml:space="preserve">Lil &amp; Johnssweetre Oak Island</t>
        </is>
      </c>
      <c r="C38" s="2" t="inlineStr">
        <is>
          <t xml:space="preserve">Restaurants &amp; Takeout</t>
        </is>
      </c>
      <c r="D38" s="2" t="inlineStr">
        <is>
          <t xml:space="preserve">Food</t>
        </is>
      </c>
      <c r="E38" s="3">
        <v>24.34</v>
      </c>
      <c r="G38" s="7" t="inlineStr">
        <is>
          <t xml:space="preserve">Not counted as spending</t>
        </is>
      </c>
      <c r="H38" s="7"/>
    </row>
    <row r="39">
      <c r="A39" s="4">
        <v>46204</v>
      </c>
      <c r="B39" s="2" t="inlineStr">
        <is>
          <t xml:space="preserve">WM Supercenter #2256</t>
        </is>
      </c>
      <c r="C39" s="2" t="inlineStr">
        <is>
          <t xml:space="preserve">Retail – Walmart</t>
        </is>
      </c>
      <c r="D39" s="2" t="inlineStr">
        <is>
          <t xml:space="preserve">Retail</t>
        </is>
      </c>
      <c r="E39" s="3">
        <v>12.21</v>
      </c>
      <c r="G39" s="2" t="inlineStr">
        <is>
          <t xml:space="preserve">Bowery West</t>
        </is>
      </c>
      <c r="H39" s="3">
        <f>SUMIF($C$4:$C$127,G39,$E$4:$E$127)</f>
        <v>400.0</v>
      </c>
    </row>
    <row r="40">
      <c r="A40" s="4">
        <v>46205</v>
      </c>
      <c r="B40" s="2" t="inlineStr">
        <is>
          <t xml:space="preserve">Chick-Fil-A #0175 Henderson NC</t>
        </is>
      </c>
      <c r="C40" s="2" t="inlineStr">
        <is>
          <t xml:space="preserve">Restaurants &amp; Takeout</t>
        </is>
      </c>
      <c r="D40" s="2" t="inlineStr">
        <is>
          <t xml:space="preserve">Food</t>
        </is>
      </c>
      <c r="E40" s="3">
        <v>7.37</v>
      </c>
      <c r="G40" s="2" t="inlineStr">
        <is>
          <t xml:space="preserve">Credit Card Payoff – American Express</t>
        </is>
      </c>
      <c r="H40" s="3">
        <f>SUMIF($C$4:$C$127,G40,$E$4:$E$127)</f>
        <v>7227.09</v>
      </c>
    </row>
    <row r="41">
      <c r="A41" s="4">
        <v>46205</v>
      </c>
      <c r="B41" s="2" t="inlineStr">
        <is>
          <t xml:space="preserve">Chick-Fil-A #0175 Henderson NC</t>
        </is>
      </c>
      <c r="C41" s="2" t="inlineStr">
        <is>
          <t xml:space="preserve">Restaurants &amp; Takeout</t>
        </is>
      </c>
      <c r="D41" s="2" t="inlineStr">
        <is>
          <t xml:space="preserve">Food</t>
        </is>
      </c>
      <c r="E41" s="3">
        <v>10.13</v>
      </c>
      <c r="G41" s="2" t="inlineStr">
        <is>
          <t xml:space="preserve">Dust and Mop House</t>
        </is>
      </c>
      <c r="H41" s="3">
        <f>SUMIF($C$4:$C$127,G41,$E$4:$E$127)</f>
        <v>100.0</v>
      </c>
    </row>
    <row r="42">
      <c r="A42" s="4">
        <v>46205</v>
      </c>
      <c r="B42" s="2" t="inlineStr">
        <is>
          <t xml:space="preserve">Mms-Granville Med Oxford NC</t>
        </is>
      </c>
      <c r="C42" s="2" t="inlineStr">
        <is>
          <t xml:space="preserve">Medical – Granville Medical Center (Oxford)</t>
        </is>
      </c>
      <c r="D42" s="2" t="inlineStr">
        <is>
          <t xml:space="preserve">Health</t>
        </is>
      </c>
      <c r="E42" s="3">
        <v>6.21</v>
      </c>
      <c r="G42" s="2" t="inlineStr">
        <is>
          <t xml:space="preserve">Sloane Realty</t>
        </is>
      </c>
      <c r="H42" s="3">
        <f>SUMIF($C$4:$C$127,G42,$E$4:$E$127)</f>
        <v>2891.98</v>
      </c>
    </row>
    <row r="43">
      <c r="A43" s="4">
        <v>46205</v>
      </c>
      <c r="B43" s="2" t="inlineStr">
        <is>
          <t xml:space="preserve">Shell Service Station Henderson</t>
        </is>
      </c>
      <c r="C43" s="2" t="inlineStr">
        <is>
          <t xml:space="preserve">Gas &amp; Convenience Stores</t>
        </is>
      </c>
      <c r="D43" s="2" t="inlineStr">
        <is>
          <t xml:space="preserve">Transportation</t>
        </is>
      </c>
      <c r="E43" s="3">
        <v>49.87</v>
      </c>
      <c r="G43" s="2" t="inlineStr">
        <is>
          <t xml:space="preserve">Transfer to Own WF Account</t>
        </is>
      </c>
      <c r="H43" s="3">
        <f>SUMIF($C$4:$C$127,G43,$E$4:$E$127)</f>
        <v>3.26</v>
      </c>
    </row>
    <row r="44">
      <c r="A44" s="4">
        <v>46206</v>
      </c>
      <c r="B44" s="2" t="inlineStr">
        <is>
          <t xml:space="preserve">DD *Doordash Falco</t>
        </is>
      </c>
      <c r="C44" s="2" t="inlineStr">
        <is>
          <t xml:space="preserve">Restaurants &amp; Takeout</t>
        </is>
      </c>
      <c r="D44" s="2" t="inlineStr">
        <is>
          <t xml:space="preserve">Food</t>
        </is>
      </c>
      <c r="E44" s="3">
        <v>50.74</v>
      </c>
      <c r="G44" s="2" t="inlineStr">
        <is>
          <t xml:space="preserve">WTW Health Premium (reimbursed by Via Benefits)</t>
        </is>
      </c>
      <c r="H44" s="3">
        <f>SUMIF($C$4:$C$127,G44,$E$4:$E$127)</f>
        <v>2576.0</v>
      </c>
    </row>
    <row r="45">
      <c r="A45" s="4">
        <v>46206</v>
      </c>
      <c r="B45" s="2" t="inlineStr">
        <is>
          <t xml:space="preserve">Publix #1703 Oak Island NC</t>
        </is>
      </c>
      <c r="C45" s="2" t="inlineStr">
        <is>
          <t xml:space="preserve">Grocery – Publix</t>
        </is>
      </c>
      <c r="D45" s="2" t="inlineStr">
        <is>
          <t xml:space="preserve">Groceries</t>
        </is>
      </c>
      <c r="E45" s="3">
        <v>47.28</v>
      </c>
    </row>
    <row r="46">
      <c r="A46" s="4">
        <v>46209</v>
      </c>
      <c r="B46" s="2" t="inlineStr">
        <is>
          <t xml:space="preserve">Chick-Fil-A #0175 Henderson NC</t>
        </is>
      </c>
      <c r="C46" s="2" t="inlineStr">
        <is>
          <t xml:space="preserve">Restaurants &amp; Takeout</t>
        </is>
      </c>
      <c r="D46" s="2" t="inlineStr">
        <is>
          <t xml:space="preserve">Food</t>
        </is>
      </c>
      <c r="E46" s="3">
        <v>25.88</v>
      </c>
    </row>
    <row r="47">
      <c r="A47" s="4">
        <v>46209</v>
      </c>
      <c r="B47" s="2" t="inlineStr">
        <is>
          <t xml:space="preserve">Chick-Fil-A #0175 Henderson NC</t>
        </is>
      </c>
      <c r="C47" s="2" t="inlineStr">
        <is>
          <t xml:space="preserve">Restaurants &amp; Takeout</t>
        </is>
      </c>
      <c r="D47" s="2" t="inlineStr">
        <is>
          <t xml:space="preserve">Food</t>
        </is>
      </c>
      <c r="E47" s="3">
        <v>7.79</v>
      </c>
    </row>
    <row r="48">
      <c r="A48" s="4">
        <v>46209</v>
      </c>
      <c r="B48" s="2" t="inlineStr">
        <is>
          <t xml:space="preserve">Hardees 1663 Benson NC</t>
        </is>
      </c>
      <c r="C48" s="2" t="inlineStr">
        <is>
          <t xml:space="preserve">Restaurants &amp; Takeout</t>
        </is>
      </c>
      <c r="D48" s="2" t="inlineStr">
        <is>
          <t xml:space="preserve">Food</t>
        </is>
      </c>
      <c r="E48" s="3">
        <v>8.53</v>
      </c>
    </row>
    <row r="49">
      <c r="A49" s="4">
        <v>46209</v>
      </c>
      <c r="B49" s="2" t="inlineStr">
        <is>
          <t xml:space="preserve">Publix #1703 Oak Island NC</t>
        </is>
      </c>
      <c r="C49" s="2" t="inlineStr">
        <is>
          <t xml:space="preserve">Grocery – Publix</t>
        </is>
      </c>
      <c r="D49" s="2" t="inlineStr">
        <is>
          <t xml:space="preserve">Groceries</t>
        </is>
      </c>
      <c r="E49" s="3">
        <v>94.64</v>
      </c>
    </row>
    <row r="50">
      <c r="A50" s="4">
        <v>46209</v>
      </c>
      <c r="B50" s="2" t="inlineStr">
        <is>
          <t xml:space="preserve">Frndlytv Inc*+ 1Ad</t>
        </is>
      </c>
      <c r="C50" s="2" t="inlineStr">
        <is>
          <t xml:space="preserve">Streaming – Frndly TV</t>
        </is>
      </c>
      <c r="D50" s="2" t="inlineStr">
        <is>
          <t xml:space="preserve">Streaming</t>
        </is>
      </c>
      <c r="E50" s="3">
        <v>22.41</v>
      </c>
    </row>
    <row r="51">
      <c r="A51" s="4">
        <v>46209</v>
      </c>
      <c r="B51" s="2" t="inlineStr">
        <is>
          <t xml:space="preserve">Venmo *Ryan</t>
        </is>
      </c>
      <c r="C51" s="2" t="inlineStr">
        <is>
          <t xml:space="preserve">Transfers to People (Venmo/Zelle)</t>
        </is>
      </c>
      <c r="D51" s="2" t="inlineStr">
        <is>
          <t xml:space="preserve">Transfers</t>
        </is>
      </c>
      <c r="E51" s="3">
        <v>700.0</v>
      </c>
    </row>
    <row r="52">
      <c r="A52" s="4">
        <v>46209</v>
      </c>
      <c r="B52" s="2" t="inlineStr">
        <is>
          <t xml:space="preserve">Sq *Saltwater Shan Supply NC</t>
        </is>
      </c>
      <c r="C52" s="2" t="inlineStr">
        <is>
          <t xml:space="preserve">Restaurants &amp; Takeout</t>
        </is>
      </c>
      <c r="D52" s="2" t="inlineStr">
        <is>
          <t xml:space="preserve">Food</t>
        </is>
      </c>
      <c r="E52" s="3">
        <v>19.19</v>
      </c>
    </row>
    <row r="53">
      <c r="A53" s="4">
        <v>46209</v>
      </c>
      <c r="B53" s="2" t="inlineStr">
        <is>
          <t xml:space="preserve">Venmo *Tracy Middleton</t>
        </is>
      </c>
      <c r="C53" s="2" t="inlineStr">
        <is>
          <t xml:space="preserve">Transfers to People (Venmo/Zelle)</t>
        </is>
      </c>
      <c r="D53" s="2" t="inlineStr">
        <is>
          <t xml:space="preserve">Transfers</t>
        </is>
      </c>
      <c r="E53" s="3">
        <v>64.05</v>
      </c>
    </row>
    <row r="54">
      <c r="A54" s="4">
        <v>46209</v>
      </c>
      <c r="B54" s="2" t="inlineStr">
        <is>
          <t xml:space="preserve">Delta Dental of Delta Dent</t>
        </is>
      </c>
      <c r="C54" s="2" t="inlineStr">
        <is>
          <t xml:space="preserve">Dental Insurance – Delta Dental</t>
        </is>
      </c>
      <c r="D54" s="2" t="inlineStr">
        <is>
          <t xml:space="preserve">Insurance</t>
        </is>
      </c>
      <c r="E54" s="3">
        <v>69.36</v>
      </c>
    </row>
    <row r="55">
      <c r="A55" s="4">
        <v>46209</v>
      </c>
      <c r="B55" s="2" t="inlineStr">
        <is>
          <t xml:space="preserve">American Express ACH Pmt W9322</t>
        </is>
      </c>
      <c r="C55" s="2" t="inlineStr">
        <is>
          <t xml:space="preserve">Credit Card Payoff – American Express</t>
        </is>
      </c>
      <c r="D55" s="2" t="inlineStr">
        <is>
          <t xml:space="preserve">Excluded</t>
        </is>
      </c>
      <c r="E55" s="3">
        <v>2000.0</v>
      </c>
    </row>
    <row r="56">
      <c r="A56" s="4">
        <v>46210</v>
      </c>
      <c r="B56" s="2" t="inlineStr">
        <is>
          <t xml:space="preserve">Autobks*Nextgen LA</t>
        </is>
      </c>
      <c r="C56" s="2" t="inlineStr">
        <is>
          <t xml:space="preserve">Yard Company (NextGen)</t>
        </is>
      </c>
      <c r="D56" s="2" t="inlineStr">
        <is>
          <t xml:space="preserve">Home</t>
        </is>
      </c>
      <c r="E56" s="3">
        <v>100.0</v>
      </c>
    </row>
    <row r="57">
      <c r="A57" s="4">
        <v>46210</v>
      </c>
      <c r="B57" s="2" t="inlineStr">
        <is>
          <t xml:space="preserve">WM Supercenter #5923 Myrtle</t>
        </is>
      </c>
      <c r="C57" s="2" t="inlineStr">
        <is>
          <t xml:space="preserve">Retail – Walmart</t>
        </is>
      </c>
      <c r="D57" s="2" t="inlineStr">
        <is>
          <t xml:space="preserve">Retail</t>
        </is>
      </c>
      <c r="E57" s="3">
        <v>43.96</v>
      </c>
    </row>
    <row r="58">
      <c r="A58" s="4">
        <v>46210</v>
      </c>
      <c r="B58" s="2" t="inlineStr">
        <is>
          <t xml:space="preserve">Lowes Foods #27 Southport NC</t>
        </is>
      </c>
      <c r="C58" s="2" t="inlineStr">
        <is>
          <t xml:space="preserve">Grocery – Lowes Foods</t>
        </is>
      </c>
      <c r="D58" s="2" t="inlineStr">
        <is>
          <t xml:space="preserve">Groceries</t>
        </is>
      </c>
      <c r="E58" s="3">
        <v>178.55</v>
      </c>
    </row>
    <row r="59">
      <c r="A59" s="4">
        <v>46210</v>
      </c>
      <c r="B59" s="2" t="inlineStr">
        <is>
          <t xml:space="preserve">Wtw Ccc Tccc 2026Jul</t>
        </is>
      </c>
      <c r="C59" s="2" t="inlineStr">
        <is>
          <t xml:space="preserve">WTW Health Premium (reimbursed by Via Benefits)</t>
        </is>
      </c>
      <c r="D59" s="2" t="inlineStr">
        <is>
          <t xml:space="preserve">Excluded</t>
        </is>
      </c>
      <c r="E59" s="3">
        <v>2576.0</v>
      </c>
    </row>
    <row r="60">
      <c r="A60" s="4">
        <v>46211</v>
      </c>
      <c r="B60" s="2" t="inlineStr">
        <is>
          <t xml:space="preserve">DD/Br #338554 Q35 Little River</t>
        </is>
      </c>
      <c r="C60" s="2" t="inlineStr">
        <is>
          <t xml:space="preserve">Restaurants &amp; Takeout</t>
        </is>
      </c>
      <c r="D60" s="2" t="inlineStr">
        <is>
          <t xml:space="preserve">Food</t>
        </is>
      </c>
      <c r="E60" s="3">
        <v>10.91</v>
      </c>
    </row>
    <row r="61">
      <c r="A61" s="4">
        <v>46211</v>
      </c>
      <c r="B61" s="2" t="inlineStr">
        <is>
          <t xml:space="preserve">NY Deli Myrtle Beach SC</t>
        </is>
      </c>
      <c r="C61" s="2" t="inlineStr">
        <is>
          <t xml:space="preserve">Restaurants &amp; Takeout</t>
        </is>
      </c>
      <c r="D61" s="2" t="inlineStr">
        <is>
          <t xml:space="preserve">Food</t>
        </is>
      </c>
      <c r="E61" s="3">
        <v>16.43</v>
      </c>
    </row>
    <row r="62">
      <c r="A62" s="4">
        <v>46211</v>
      </c>
      <c r="B62" s="2" t="inlineStr">
        <is>
          <t xml:space="preserve">Lowes Food #235 Bolivia NC</t>
        </is>
      </c>
      <c r="C62" s="2" t="inlineStr">
        <is>
          <t xml:space="preserve">Grocery – Lowes Foods</t>
        </is>
      </c>
      <c r="D62" s="2" t="inlineStr">
        <is>
          <t xml:space="preserve">Groceries</t>
        </is>
      </c>
      <c r="E62" s="3">
        <v>98.21</v>
      </c>
    </row>
    <row r="63">
      <c r="A63" s="4">
        <v>46211</v>
      </c>
      <c r="B63" s="2" t="inlineStr">
        <is>
          <t xml:space="preserve">Lowes Food #235 Bolivia NC</t>
        </is>
      </c>
      <c r="C63" s="2" t="inlineStr">
        <is>
          <t xml:space="preserve">Grocery – Lowes Foods</t>
        </is>
      </c>
      <c r="D63" s="2" t="inlineStr">
        <is>
          <t xml:space="preserve">Groceries</t>
        </is>
      </c>
      <c r="E63" s="3">
        <v>6.39</v>
      </c>
    </row>
    <row r="64">
      <c r="A64" s="4">
        <v>46211</v>
      </c>
      <c r="B64" s="2" t="inlineStr">
        <is>
          <t xml:space="preserve">Banner Life Prem Debit 17180884647</t>
        </is>
      </c>
      <c r="C64" s="2" t="inlineStr">
        <is>
          <t xml:space="preserve">Banner Life Insurance</t>
        </is>
      </c>
      <c r="D64" s="2" t="inlineStr">
        <is>
          <t xml:space="preserve">Insurance</t>
        </is>
      </c>
      <c r="E64" s="3">
        <v>710.06</v>
      </c>
    </row>
    <row r="65">
      <c r="A65" s="4">
        <v>46213</v>
      </c>
      <c r="B65" s="2" t="inlineStr">
        <is>
          <t xml:space="preserve">McDonald's F33155 Leland NC</t>
        </is>
      </c>
      <c r="C65" s="2" t="inlineStr">
        <is>
          <t xml:space="preserve">Restaurants &amp; Takeout</t>
        </is>
      </c>
      <c r="D65" s="2" t="inlineStr">
        <is>
          <t xml:space="preserve">Food</t>
        </is>
      </c>
      <c r="E65" s="3">
        <v>9.6</v>
      </c>
    </row>
    <row r="66">
      <c r="A66" s="4">
        <v>46213</v>
      </c>
      <c r="B66" s="2" t="inlineStr">
        <is>
          <t xml:space="preserve">Dicks Sporting Goo Wilmington</t>
        </is>
      </c>
      <c r="C66" s="2" t="inlineStr">
        <is>
          <t xml:space="preserve">Retail – Dick's Sporting Goods</t>
        </is>
      </c>
      <c r="D66" s="2" t="inlineStr">
        <is>
          <t xml:space="preserve">Retail</t>
        </is>
      </c>
      <c r="E66" s="3">
        <v>63.61</v>
      </c>
    </row>
    <row r="67">
      <c r="A67" s="4">
        <v>46213</v>
      </c>
      <c r="B67" s="2" t="inlineStr">
        <is>
          <t xml:space="preserve">Sq *Smoothie &amp; Bob</t>
        </is>
      </c>
      <c r="C67" s="2" t="inlineStr">
        <is>
          <t xml:space="preserve">Restaurants &amp; Takeout</t>
        </is>
      </c>
      <c r="D67" s="2" t="inlineStr">
        <is>
          <t xml:space="preserve">Food</t>
        </is>
      </c>
      <c r="E67" s="3">
        <v>9.51</v>
      </c>
    </row>
    <row r="68">
      <c r="A68" s="4">
        <v>46213</v>
      </c>
      <c r="B68" s="2" t="inlineStr">
        <is>
          <t xml:space="preserve">Cvs/Pharmacy #07382</t>
        </is>
      </c>
      <c r="C68" s="2" t="inlineStr">
        <is>
          <t xml:space="preserve">CVS Pharmacy</t>
        </is>
      </c>
      <c r="D68" s="2" t="inlineStr">
        <is>
          <t xml:space="preserve">Health</t>
        </is>
      </c>
      <c r="E68" s="3">
        <v>56.33</v>
      </c>
    </row>
    <row r="69">
      <c r="A69" s="4">
        <v>46213</v>
      </c>
      <c r="B69" s="2" t="inlineStr">
        <is>
          <t xml:space="preserve">Lowes Foods #27 Southport NC</t>
        </is>
      </c>
      <c r="C69" s="2" t="inlineStr">
        <is>
          <t xml:space="preserve">Grocery – Lowes Foods</t>
        </is>
      </c>
      <c r="D69" s="2" t="inlineStr">
        <is>
          <t xml:space="preserve">Groceries</t>
        </is>
      </c>
      <c r="E69" s="3">
        <v>22.21</v>
      </c>
    </row>
    <row r="70">
      <c r="A70" s="4">
        <v>46213</v>
      </c>
      <c r="B70" s="2" t="inlineStr">
        <is>
          <t xml:space="preserve">Belk Syf Paymnt Jul 10 604583156390724 Dempseyleigh</t>
        </is>
      </c>
      <c r="C70" s="2" t="inlineStr">
        <is>
          <t xml:space="preserve">Retail – Belk (store card payments)</t>
        </is>
      </c>
      <c r="D70" s="2" t="inlineStr">
        <is>
          <t xml:space="preserve">Retail</t>
        </is>
      </c>
      <c r="E70" s="3">
        <v>371.08</v>
      </c>
    </row>
    <row r="71">
      <c r="A71" s="4">
        <v>46216</v>
      </c>
      <c r="B71" s="2" t="inlineStr">
        <is>
          <t xml:space="preserve">Propertyrecs.Com</t>
        </is>
      </c>
      <c r="C71" s="2" t="inlineStr">
        <is>
          <t xml:space="preserve">Software &amp; Online Subscriptions</t>
        </is>
      </c>
      <c r="D71" s="2" t="inlineStr">
        <is>
          <t xml:space="preserve">Subscriptions</t>
        </is>
      </c>
      <c r="E71" s="3">
        <v>20.0</v>
      </c>
    </row>
    <row r="72">
      <c r="A72" s="4">
        <v>46216</v>
      </c>
      <c r="B72" s="2" t="inlineStr">
        <is>
          <t xml:space="preserve">DD *Doordash Jerse</t>
        </is>
      </c>
      <c r="C72" s="2" t="inlineStr">
        <is>
          <t xml:space="preserve">Restaurants &amp; Takeout</t>
        </is>
      </c>
      <c r="D72" s="2" t="inlineStr">
        <is>
          <t xml:space="preserve">Food</t>
        </is>
      </c>
      <c r="E72" s="3">
        <v>51.23</v>
      </c>
    </row>
    <row r="73">
      <c r="A73" s="4">
        <v>46216</v>
      </c>
      <c r="B73" s="2" t="inlineStr">
        <is>
          <t xml:space="preserve">McDonald's F7702 Southport NC</t>
        </is>
      </c>
      <c r="C73" s="2" t="inlineStr">
        <is>
          <t xml:space="preserve">Restaurants &amp; Takeout</t>
        </is>
      </c>
      <c r="D73" s="2" t="inlineStr">
        <is>
          <t xml:space="preserve">Food</t>
        </is>
      </c>
      <c r="E73" s="3">
        <v>9.49</v>
      </c>
    </row>
    <row r="74">
      <c r="A74" s="4">
        <v>46216</v>
      </c>
      <c r="B74" s="2" t="inlineStr">
        <is>
          <t xml:space="preserve">Marathon Supply NC</t>
        </is>
      </c>
      <c r="C74" s="2" t="inlineStr">
        <is>
          <t xml:space="preserve">Gas &amp; Convenience Stores</t>
        </is>
      </c>
      <c r="D74" s="2" t="inlineStr">
        <is>
          <t xml:space="preserve">Transportation</t>
        </is>
      </c>
      <c r="E74" s="3">
        <v>3.24</v>
      </c>
    </row>
    <row r="75">
      <c r="A75" s="4">
        <v>46216</v>
      </c>
      <c r="B75" s="2" t="inlineStr">
        <is>
          <t xml:space="preserve">Thai &amp; Vine Oak Island NC</t>
        </is>
      </c>
      <c r="C75" s="2" t="inlineStr">
        <is>
          <t xml:space="preserve">Restaurants &amp; Takeout</t>
        </is>
      </c>
      <c r="D75" s="2" t="inlineStr">
        <is>
          <t xml:space="preserve">Food</t>
        </is>
      </c>
      <c r="E75" s="3">
        <v>71.61</v>
      </c>
    </row>
    <row r="76">
      <c r="A76" s="4">
        <v>46216</v>
      </c>
      <c r="B76" s="2" t="inlineStr">
        <is>
          <t xml:space="preserve">Espn 800-7271800 NY</t>
        </is>
      </c>
      <c r="C76" s="2" t="inlineStr">
        <is>
          <t xml:space="preserve">Streaming – ESPN (Sept billed as Disney Plus)</t>
        </is>
      </c>
      <c r="D76" s="2" t="inlineStr">
        <is>
          <t xml:space="preserve">Streaming</t>
        </is>
      </c>
      <c r="E76" s="3">
        <v>13.87</v>
      </c>
    </row>
    <row r="77">
      <c r="A77" s="4">
        <v>46217</v>
      </c>
      <c r="B77" s="2" t="inlineStr">
        <is>
          <t xml:space="preserve">Lowes Foods #27 Southport NC</t>
        </is>
      </c>
      <c r="C77" s="2" t="inlineStr">
        <is>
          <t xml:space="preserve">Grocery – Lowes Foods</t>
        </is>
      </c>
      <c r="D77" s="2" t="inlineStr">
        <is>
          <t xml:space="preserve">Groceries</t>
        </is>
      </c>
      <c r="E77" s="3">
        <v>19.08</v>
      </c>
    </row>
    <row r="78">
      <c r="A78" s="4">
        <v>46217</v>
      </c>
      <c r="B78" s="2" t="inlineStr">
        <is>
          <t xml:space="preserve">Lil &amp; Johnssweetreat I Oak</t>
        </is>
      </c>
      <c r="C78" s="2" t="inlineStr">
        <is>
          <t xml:space="preserve">Restaurants &amp; Takeout</t>
        </is>
      </c>
      <c r="D78" s="2" t="inlineStr">
        <is>
          <t xml:space="preserve">Food</t>
        </is>
      </c>
      <c r="E78" s="3">
        <v>17.29</v>
      </c>
    </row>
    <row r="79">
      <c r="A79" s="4">
        <v>46217</v>
      </c>
      <c r="B79" s="2" t="inlineStr">
        <is>
          <t xml:space="preserve">Dept Education Student Ln 0000</t>
        </is>
      </c>
      <c r="C79" s="2" t="inlineStr">
        <is>
          <t xml:space="preserve">Student Loan (Dept of Education)</t>
        </is>
      </c>
      <c r="D79" s="2" t="inlineStr">
        <is>
          <t xml:space="preserve">Student Loan</t>
        </is>
      </c>
      <c r="E79" s="3">
        <v>160.37</v>
      </c>
    </row>
    <row r="80">
      <c r="A80" s="4">
        <v>46218</v>
      </c>
      <c r="B80" s="2" t="inlineStr">
        <is>
          <t xml:space="preserve">Bemc - Ecc Amanda.Wheele NC</t>
        </is>
      </c>
      <c r="C80" s="2" t="inlineStr">
        <is>
          <t xml:space="preserve">Utility – Electric (BEMC)</t>
        </is>
      </c>
      <c r="D80" s="2" t="inlineStr">
        <is>
          <t xml:space="preserve">Utilities</t>
        </is>
      </c>
      <c r="E80" s="3">
        <v>336.35</v>
      </c>
    </row>
    <row r="81">
      <c r="A81" s="4">
        <v>46218</v>
      </c>
      <c r="B81" s="2" t="inlineStr">
        <is>
          <t xml:space="preserve">Wwp*Spring-Green L</t>
        </is>
      </c>
      <c r="C81" s="2" t="inlineStr">
        <is>
          <t xml:space="preserve">Home Services (Pest Control, Lawn Treatment)</t>
        </is>
      </c>
      <c r="D81" s="2" t="inlineStr">
        <is>
          <t xml:space="preserve">Home</t>
        </is>
      </c>
      <c r="E81" s="3">
        <v>142.05</v>
      </c>
    </row>
    <row r="82">
      <c r="A82" s="4">
        <v>46218</v>
      </c>
      <c r="B82" s="2" t="inlineStr">
        <is>
          <t xml:space="preserve">St. James Marina Southport NC</t>
        </is>
      </c>
      <c r="C82" s="2" t="inlineStr">
        <is>
          <t xml:space="preserve">St. James Marina</t>
        </is>
      </c>
      <c r="D82" s="2" t="inlineStr">
        <is>
          <t xml:space="preserve">Recreation</t>
        </is>
      </c>
      <c r="E82" s="3">
        <v>14.9</v>
      </c>
    </row>
    <row r="83">
      <c r="A83" s="4">
        <v>46218</v>
      </c>
      <c r="B83" s="2" t="inlineStr">
        <is>
          <t xml:space="preserve">Circlek #2723140 3498 Little</t>
        </is>
      </c>
      <c r="C83" s="2" t="inlineStr">
        <is>
          <t xml:space="preserve">Gas &amp; Convenience Stores</t>
        </is>
      </c>
      <c r="D83" s="2" t="inlineStr">
        <is>
          <t xml:space="preserve">Transportation</t>
        </is>
      </c>
      <c r="E83" s="3">
        <v>50.55</v>
      </c>
    </row>
    <row r="84">
      <c r="A84" s="4">
        <v>46218</v>
      </c>
      <c r="B84" s="2" t="inlineStr">
        <is>
          <t xml:space="preserve">Circlek #2723140 3498 Little</t>
        </is>
      </c>
      <c r="C84" s="2" t="inlineStr">
        <is>
          <t xml:space="preserve">Gas &amp; Convenience Stores</t>
        </is>
      </c>
      <c r="D84" s="2" t="inlineStr">
        <is>
          <t xml:space="preserve">Transportation</t>
        </is>
      </c>
      <c r="E84" s="3">
        <v>1.99</v>
      </c>
    </row>
    <row r="85">
      <c r="A85" s="4">
        <v>46218</v>
      </c>
      <c r="B85" s="2" t="inlineStr">
        <is>
          <t xml:space="preserve">Lil &amp; Johnssweetreat 2 Oak</t>
        </is>
      </c>
      <c r="C85" s="2" t="inlineStr">
        <is>
          <t xml:space="preserve">Restaurants &amp; Takeout</t>
        </is>
      </c>
      <c r="D85" s="2" t="inlineStr">
        <is>
          <t xml:space="preserve">Food</t>
        </is>
      </c>
      <c r="E85" s="3">
        <v>17.29</v>
      </c>
    </row>
    <row r="86">
      <c r="A86" s="4">
        <v>46218</v>
      </c>
      <c r="B86" s="2" t="inlineStr">
        <is>
          <t xml:space="preserve">A&amp;D Mortgage LLC Re Payment</t>
        </is>
      </c>
      <c r="C86" s="2" t="inlineStr">
        <is>
          <t xml:space="preserve">A&amp;D Mortgage</t>
        </is>
      </c>
      <c r="D86" s="2" t="inlineStr">
        <is>
          <t xml:space="preserve">Housing</t>
        </is>
      </c>
      <c r="E86" s="3">
        <v>3411.1</v>
      </c>
    </row>
    <row r="87">
      <c r="A87" s="4">
        <v>46219</v>
      </c>
      <c r="B87" s="2" t="inlineStr">
        <is>
          <t xml:space="preserve">McDonald's F31556 Little River</t>
        </is>
      </c>
      <c r="C87" s="2" t="inlineStr">
        <is>
          <t xml:space="preserve">Restaurants &amp; Takeout</t>
        </is>
      </c>
      <c r="D87" s="2" t="inlineStr">
        <is>
          <t xml:space="preserve">Food</t>
        </is>
      </c>
      <c r="E87" s="3">
        <v>12.04</v>
      </c>
    </row>
    <row r="88">
      <c r="A88" s="4">
        <v>46219</v>
      </c>
      <c r="B88" s="2" t="inlineStr">
        <is>
          <t xml:space="preserve">Tst*Little Pigs Bb Myrtle Beach</t>
        </is>
      </c>
      <c r="C88" s="2" t="inlineStr">
        <is>
          <t xml:space="preserve">Restaurants &amp; Takeout</t>
        </is>
      </c>
      <c r="D88" s="2" t="inlineStr">
        <is>
          <t xml:space="preserve">Food</t>
        </is>
      </c>
      <c r="E88" s="3">
        <v>19.89</v>
      </c>
    </row>
    <row r="89">
      <c r="A89" s="4">
        <v>46219</v>
      </c>
      <c r="B89" s="2" t="inlineStr">
        <is>
          <t xml:space="preserve">Lowe's Foods #1 Oak Island NC</t>
        </is>
      </c>
      <c r="C89" s="2" t="inlineStr">
        <is>
          <t xml:space="preserve">Grocery – Lowes Foods</t>
        </is>
      </c>
      <c r="D89" s="2" t="inlineStr">
        <is>
          <t xml:space="preserve">Groceries</t>
        </is>
      </c>
      <c r="E89" s="3">
        <v>56.23</v>
      </c>
    </row>
    <row r="90">
      <c r="A90" s="4">
        <v>46219</v>
      </c>
      <c r="B90" s="2" t="inlineStr">
        <is>
          <t xml:space="preserve">Refuel 119 Oxford NC</t>
        </is>
      </c>
      <c r="C90" s="2" t="inlineStr">
        <is>
          <t xml:space="preserve">Gas &amp; Convenience Stores</t>
        </is>
      </c>
      <c r="D90" s="2" t="inlineStr">
        <is>
          <t xml:space="preserve">Transportation</t>
        </is>
      </c>
      <c r="E90" s="3">
        <v>5.61</v>
      </c>
    </row>
    <row r="91">
      <c r="A91" s="4">
        <v>46219</v>
      </c>
      <c r="B91" s="2" t="inlineStr">
        <is>
          <t xml:space="preserve">Lowes Food #235 Bolivia NC</t>
        </is>
      </c>
      <c r="C91" s="2" t="inlineStr">
        <is>
          <t xml:space="preserve">Grocery – Lowes Foods</t>
        </is>
      </c>
      <c r="D91" s="2" t="inlineStr">
        <is>
          <t xml:space="preserve">Groceries</t>
        </is>
      </c>
      <c r="E91" s="3">
        <v>16.8</v>
      </c>
    </row>
    <row r="92">
      <c r="A92" s="4">
        <v>46219</v>
      </c>
      <c r="B92" s="2" t="inlineStr">
        <is>
          <t xml:space="preserve">Belk Syf Paymnt Jul 16 604583156390724 Dempseyleigh</t>
        </is>
      </c>
      <c r="C92" s="2" t="inlineStr">
        <is>
          <t xml:space="preserve">Retail – Belk (store card payments)</t>
        </is>
      </c>
      <c r="D92" s="2" t="inlineStr">
        <is>
          <t xml:space="preserve">Retail</t>
        </is>
      </c>
      <c r="E92" s="3">
        <v>576.96</v>
      </c>
    </row>
    <row r="93">
      <c r="A93" s="4">
        <v>46220</v>
      </c>
      <c r="B93" s="2" t="inlineStr">
        <is>
          <t xml:space="preserve">McDonald's F12282 Warsaw NC</t>
        </is>
      </c>
      <c r="C93" s="2" t="inlineStr">
        <is>
          <t xml:space="preserve">Restaurants &amp; Takeout</t>
        </is>
      </c>
      <c r="D93" s="2" t="inlineStr">
        <is>
          <t xml:space="preserve">Food</t>
        </is>
      </c>
      <c r="E93" s="3">
        <v>15.39</v>
      </c>
    </row>
    <row r="94">
      <c r="A94" s="4">
        <v>46220</v>
      </c>
      <c r="B94" s="2" t="inlineStr">
        <is>
          <t xml:space="preserve">Speedway 44658 Raleigh NC</t>
        </is>
      </c>
      <c r="C94" s="2" t="inlineStr">
        <is>
          <t xml:space="preserve">Gas &amp; Convenience Stores</t>
        </is>
      </c>
      <c r="D94" s="2" t="inlineStr">
        <is>
          <t xml:space="preserve">Transportation</t>
        </is>
      </c>
      <c r="E94" s="3">
        <v>1.62</v>
      </c>
    </row>
    <row r="95">
      <c r="A95" s="4">
        <v>46220</v>
      </c>
      <c r="B95" s="2" t="inlineStr">
        <is>
          <t xml:space="preserve">+Lincoln Nationa EDI Pymnt</t>
        </is>
      </c>
      <c r="C95" s="2" t="inlineStr">
        <is>
          <t xml:space="preserve">Life Insurance (Lincoln National)</t>
        </is>
      </c>
      <c r="D95" s="2" t="inlineStr">
        <is>
          <t xml:space="preserve">Insurance</t>
        </is>
      </c>
      <c r="E95" s="3">
        <v>73.61</v>
      </c>
    </row>
    <row r="96">
      <c r="A96" s="4">
        <v>46220</v>
      </c>
      <c r="B96" s="2" t="inlineStr">
        <is>
          <t xml:space="preserve">American Express ACH Pmt W3522</t>
        </is>
      </c>
      <c r="C96" s="2" t="inlineStr">
        <is>
          <t xml:space="preserve">Credit Card Payoff – American Express</t>
        </is>
      </c>
      <c r="D96" s="2" t="inlineStr">
        <is>
          <t xml:space="preserve">Excluded</t>
        </is>
      </c>
      <c r="E96" s="3">
        <v>1000.0</v>
      </c>
    </row>
    <row r="97">
      <c r="A97" s="4">
        <v>46223</v>
      </c>
      <c r="B97" s="2" t="inlineStr">
        <is>
          <t xml:space="preserve">Cruizers 81 Oxford NC</t>
        </is>
      </c>
      <c r="C97" s="2" t="inlineStr">
        <is>
          <t xml:space="preserve">Restaurants &amp; Takeout</t>
        </is>
      </c>
      <c r="D97" s="2" t="inlineStr">
        <is>
          <t xml:space="preserve">Food</t>
        </is>
      </c>
      <c r="E97" s="3">
        <v>37.85</v>
      </c>
    </row>
    <row r="98">
      <c r="A98" s="4">
        <v>46223</v>
      </c>
      <c r="B98" s="2" t="inlineStr">
        <is>
          <t xml:space="preserve">Wendy's #8117 Warsaw NC</t>
        </is>
      </c>
      <c r="C98" s="2" t="inlineStr">
        <is>
          <t xml:space="preserve">Restaurants &amp; Takeout</t>
        </is>
      </c>
      <c r="D98" s="2" t="inlineStr">
        <is>
          <t xml:space="preserve">Food</t>
        </is>
      </c>
      <c r="E98" s="3">
        <v>20.29</v>
      </c>
    </row>
    <row r="99">
      <c r="A99" s="4">
        <v>46223</v>
      </c>
      <c r="B99" s="2" t="inlineStr">
        <is>
          <t xml:space="preserve">Publix #1703 Oak Island NC</t>
        </is>
      </c>
      <c r="C99" s="2" t="inlineStr">
        <is>
          <t xml:space="preserve">Grocery – Publix</t>
        </is>
      </c>
      <c r="D99" s="2" t="inlineStr">
        <is>
          <t xml:space="preserve">Groceries</t>
        </is>
      </c>
      <c r="E99" s="3">
        <v>55.49</v>
      </c>
    </row>
    <row r="100">
      <c r="A100" s="4">
        <v>46223</v>
      </c>
      <c r="B100" s="2" t="inlineStr">
        <is>
          <t xml:space="preserve">Adobe *Adobe</t>
        </is>
      </c>
      <c r="C100" s="2" t="inlineStr">
        <is>
          <t xml:space="preserve">Software &amp; Online Subscriptions</t>
        </is>
      </c>
      <c r="D100" s="2" t="inlineStr">
        <is>
          <t xml:space="preserve">Subscriptions</t>
        </is>
      </c>
      <c r="E100" s="3">
        <v>75.06</v>
      </c>
    </row>
    <row r="101">
      <c r="A101" s="4">
        <v>46223</v>
      </c>
      <c r="B101" s="2" t="inlineStr">
        <is>
          <t xml:space="preserve">Publix #1703 Oak Island NC</t>
        </is>
      </c>
      <c r="C101" s="2" t="inlineStr">
        <is>
          <t xml:space="preserve">Grocery – Publix</t>
        </is>
      </c>
      <c r="D101" s="2" t="inlineStr">
        <is>
          <t xml:space="preserve">Groceries</t>
        </is>
      </c>
      <c r="E101" s="3">
        <v>7.74</v>
      </c>
    </row>
    <row r="102">
      <c r="A102" s="4">
        <v>46223</v>
      </c>
      <c r="B102" s="2" t="inlineStr">
        <is>
          <t xml:space="preserve">Tst* Sorella Pizza Holden Beach</t>
        </is>
      </c>
      <c r="C102" s="2" t="inlineStr">
        <is>
          <t xml:space="preserve">Restaurants &amp; Takeout</t>
        </is>
      </c>
      <c r="D102" s="2" t="inlineStr">
        <is>
          <t xml:space="preserve">Food</t>
        </is>
      </c>
      <c r="E102" s="3">
        <v>62.71</v>
      </c>
    </row>
    <row r="103">
      <c r="A103" s="4">
        <v>46223</v>
      </c>
      <c r="B103" s="2" t="inlineStr">
        <is>
          <t xml:space="preserve">Lowes Foods #27 Southport NC</t>
        </is>
      </c>
      <c r="C103" s="2" t="inlineStr">
        <is>
          <t xml:space="preserve">Grocery – Lowes Foods</t>
        </is>
      </c>
      <c r="D103" s="2" t="inlineStr">
        <is>
          <t xml:space="preserve">Groceries</t>
        </is>
      </c>
      <c r="E103" s="3">
        <v>169.96</v>
      </c>
    </row>
    <row r="104">
      <c r="A104" s="4">
        <v>46223</v>
      </c>
      <c r="B104" s="2" t="inlineStr">
        <is>
          <t xml:space="preserve">Circlek #2723140 3498 Little</t>
        </is>
      </c>
      <c r="C104" s="2" t="inlineStr">
        <is>
          <t xml:space="preserve">Gas &amp; Convenience Stores</t>
        </is>
      </c>
      <c r="D104" s="2" t="inlineStr">
        <is>
          <t xml:space="preserve">Transportation</t>
        </is>
      </c>
      <c r="E104" s="3">
        <v>5.18</v>
      </c>
    </row>
    <row r="105">
      <c r="A105" s="4">
        <v>46223</v>
      </c>
      <c r="B105" s="2" t="inlineStr">
        <is>
          <t xml:space="preserve">St James 7134 Pap</t>
        </is>
      </c>
      <c r="C105" s="2" t="inlineStr">
        <is>
          <t xml:space="preserve">St. James Membership (Club)</t>
        </is>
      </c>
      <c r="D105" s="2" t="inlineStr">
        <is>
          <t xml:space="preserve">Housing</t>
        </is>
      </c>
      <c r="E105" s="3">
        <v>1601.56</v>
      </c>
    </row>
    <row r="106">
      <c r="A106" s="4">
        <v>46224</v>
      </c>
      <c r="B106" s="2" t="inlineStr">
        <is>
          <t xml:space="preserve">Cook Out Southport Southport</t>
        </is>
      </c>
      <c r="C106" s="2" t="inlineStr">
        <is>
          <t xml:space="preserve">Restaurants &amp; Takeout</t>
        </is>
      </c>
      <c r="D106" s="2" t="inlineStr">
        <is>
          <t xml:space="preserve">Food</t>
        </is>
      </c>
      <c r="E106" s="3">
        <v>4.26</v>
      </c>
    </row>
    <row r="107">
      <c r="A107" s="4">
        <v>46224</v>
      </c>
      <c r="B107" s="2" t="inlineStr">
        <is>
          <t xml:space="preserve">Allstate *Paymn</t>
        </is>
      </c>
      <c r="C107" s="2" t="inlineStr">
        <is>
          <t xml:space="preserve">Allstate Insurance</t>
        </is>
      </c>
      <c r="D107" s="2" t="inlineStr">
        <is>
          <t xml:space="preserve">Insurance</t>
        </is>
      </c>
      <c r="E107" s="3">
        <v>360.42</v>
      </c>
    </row>
    <row r="108">
      <c r="A108" s="4">
        <v>46224</v>
      </c>
      <c r="B108" s="2" t="inlineStr">
        <is>
          <t xml:space="preserve">McDonald's F31556 Little River</t>
        </is>
      </c>
      <c r="C108" s="2" t="inlineStr">
        <is>
          <t xml:space="preserve">Restaurants &amp; Takeout</t>
        </is>
      </c>
      <c r="D108" s="2" t="inlineStr">
        <is>
          <t xml:space="preserve">Food</t>
        </is>
      </c>
      <c r="E108" s="3">
        <v>12.04</v>
      </c>
    </row>
    <row r="109">
      <c r="A109" s="4">
        <v>46224</v>
      </c>
      <c r="B109" s="2" t="inlineStr">
        <is>
          <t xml:space="preserve">Publix #1703 Oak Island NC</t>
        </is>
      </c>
      <c r="C109" s="2" t="inlineStr">
        <is>
          <t xml:space="preserve">Grocery – Publix</t>
        </is>
      </c>
      <c r="D109" s="2" t="inlineStr">
        <is>
          <t xml:space="preserve">Groceries</t>
        </is>
      </c>
      <c r="E109" s="3">
        <v>14.28</v>
      </c>
    </row>
    <row r="110">
      <c r="A110" s="4">
        <v>46224</v>
      </c>
      <c r="B110" s="2" t="inlineStr">
        <is>
          <t xml:space="preserve">Cvs/Pharmacy #0738 South Port</t>
        </is>
      </c>
      <c r="C110" s="2" t="inlineStr">
        <is>
          <t xml:space="preserve">CVS Pharmacy</t>
        </is>
      </c>
      <c r="D110" s="2" t="inlineStr">
        <is>
          <t xml:space="preserve">Health</t>
        </is>
      </c>
      <c r="E110" s="3">
        <v>29.61</v>
      </c>
    </row>
    <row r="111">
      <c r="A111" s="4">
        <v>46224</v>
      </c>
      <c r="B111" s="2" t="inlineStr">
        <is>
          <t xml:space="preserve">Rps*Bowery West CD</t>
        </is>
      </c>
      <c r="C111" s="2" t="inlineStr">
        <is>
          <t xml:space="preserve">Bowery West</t>
        </is>
      </c>
      <c r="D111" s="2" t="inlineStr">
        <is>
          <t xml:space="preserve">Excluded</t>
        </is>
      </c>
      <c r="E111" s="3">
        <v>75.0</v>
      </c>
    </row>
    <row r="112">
      <c r="A112" s="4">
        <v>46224</v>
      </c>
      <c r="B112" s="2" t="inlineStr">
        <is>
          <t xml:space="preserve">Rps*Bowery West CD</t>
        </is>
      </c>
      <c r="C112" s="2" t="inlineStr">
        <is>
          <t xml:space="preserve">Bowery West</t>
        </is>
      </c>
      <c r="D112" s="2" t="inlineStr">
        <is>
          <t xml:space="preserve">Excluded</t>
        </is>
      </c>
      <c r="E112" s="3">
        <v>125.0</v>
      </c>
    </row>
    <row r="113">
      <c r="A113" s="4">
        <v>46224</v>
      </c>
      <c r="B113" s="2" t="inlineStr">
        <is>
          <t xml:space="preserve">Rps*Bowery West CD</t>
        </is>
      </c>
      <c r="C113" s="2" t="inlineStr">
        <is>
          <t xml:space="preserve">Bowery West</t>
        </is>
      </c>
      <c r="D113" s="2" t="inlineStr">
        <is>
          <t xml:space="preserve">Excluded</t>
        </is>
      </c>
      <c r="E113" s="3">
        <v>75.0</v>
      </c>
    </row>
    <row r="114">
      <c r="A114" s="4">
        <v>46224</v>
      </c>
      <c r="B114" s="2" t="inlineStr">
        <is>
          <t xml:space="preserve">Rps*Bowery West CD</t>
        </is>
      </c>
      <c r="C114" s="2" t="inlineStr">
        <is>
          <t xml:space="preserve">Bowery West</t>
        </is>
      </c>
      <c r="D114" s="2" t="inlineStr">
        <is>
          <t xml:space="preserve">Excluded</t>
        </is>
      </c>
      <c r="E114" s="3">
        <v>125.0</v>
      </c>
    </row>
    <row r="115">
      <c r="A115" s="4">
        <v>46224</v>
      </c>
      <c r="B115" s="2" t="inlineStr">
        <is>
          <t xml:space="preserve">Circlek #2723135 8920 Oak</t>
        </is>
      </c>
      <c r="C115" s="2" t="inlineStr">
        <is>
          <t xml:space="preserve">Gas &amp; Convenience Stores</t>
        </is>
      </c>
      <c r="D115" s="2" t="inlineStr">
        <is>
          <t xml:space="preserve">Transportation</t>
        </is>
      </c>
      <c r="E115" s="3">
        <v>48.9</v>
      </c>
    </row>
    <row r="116">
      <c r="A116" s="4">
        <v>46224</v>
      </c>
      <c r="B116" s="2" t="inlineStr">
        <is>
          <t xml:space="preserve">Circlek #2723487 16 Oc Supply</t>
        </is>
      </c>
      <c r="C116" s="2" t="inlineStr">
        <is>
          <t xml:space="preserve">Gas &amp; Convenience Stores</t>
        </is>
      </c>
      <c r="D116" s="2" t="inlineStr">
        <is>
          <t xml:space="preserve">Transportation</t>
        </is>
      </c>
      <c r="E116" s="3">
        <v>58.29</v>
      </c>
    </row>
    <row r="117">
      <c r="A117" s="4">
        <v>46224</v>
      </c>
      <c r="B117" s="2" t="inlineStr">
        <is>
          <t xml:space="preserve">Food Lion #1593 1775 C Sunset</t>
        </is>
      </c>
      <c r="C117" s="2" t="inlineStr">
        <is>
          <t xml:space="preserve">Grocery – Food Lion</t>
        </is>
      </c>
      <c r="D117" s="2" t="inlineStr">
        <is>
          <t xml:space="preserve">Groceries</t>
        </is>
      </c>
      <c r="E117" s="3">
        <v>336.67</v>
      </c>
    </row>
    <row r="118">
      <c r="A118" s="4">
        <v>46224</v>
      </c>
      <c r="B118" s="2" t="inlineStr">
        <is>
          <t xml:space="preserve">Verizon Wireless Payments</t>
        </is>
      </c>
      <c r="C118" s="2" t="inlineStr">
        <is>
          <t xml:space="preserve">Verizon Wireless</t>
        </is>
      </c>
      <c r="D118" s="2" t="inlineStr">
        <is>
          <t xml:space="preserve">Phone &amp; Internet</t>
        </is>
      </c>
      <c r="E118" s="3">
        <v>294.8</v>
      </c>
    </row>
    <row r="119">
      <c r="A119" s="4">
        <v>46225</v>
      </c>
      <c r="B119" s="2" t="inlineStr">
        <is>
          <t xml:space="preserve">Roku for Peacock T</t>
        </is>
      </c>
      <c r="C119" s="2" t="inlineStr">
        <is>
          <t xml:space="preserve">Streaming – Peacock (via Roku)</t>
        </is>
      </c>
      <c r="D119" s="2" t="inlineStr">
        <is>
          <t xml:space="preserve">Streaming</t>
        </is>
      </c>
      <c r="E119" s="3">
        <v>11.73</v>
      </c>
    </row>
    <row r="120">
      <c r="A120" s="4">
        <v>46225</v>
      </c>
      <c r="B120" s="2" t="inlineStr">
        <is>
          <t xml:space="preserve">Bagel Dock Express Southport</t>
        </is>
      </c>
      <c r="C120" s="2" t="inlineStr">
        <is>
          <t xml:space="preserve">Restaurants &amp; Takeout</t>
        </is>
      </c>
      <c r="D120" s="2" t="inlineStr">
        <is>
          <t xml:space="preserve">Food</t>
        </is>
      </c>
      <c r="E120" s="3">
        <v>18.45</v>
      </c>
    </row>
    <row r="121">
      <c r="A121" s="4">
        <v>46225</v>
      </c>
      <c r="B121" s="2" t="inlineStr">
        <is>
          <t xml:space="preserve">Vtg*Sloane Realty 910-5796216</t>
        </is>
      </c>
      <c r="C121" s="2" t="inlineStr">
        <is>
          <t xml:space="preserve">Sloane Realty</t>
        </is>
      </c>
      <c r="D121" s="2" t="inlineStr">
        <is>
          <t xml:space="preserve">Excluded</t>
        </is>
      </c>
      <c r="E121" s="3">
        <v>2891.98</v>
      </c>
    </row>
    <row r="122">
      <c r="A122" s="4">
        <v>46225</v>
      </c>
      <c r="B122" s="2" t="inlineStr">
        <is>
          <t xml:space="preserve">McDonald's F35966 Supply NC</t>
        </is>
      </c>
      <c r="C122" s="2" t="inlineStr">
        <is>
          <t xml:space="preserve">Restaurants &amp; Takeout</t>
        </is>
      </c>
      <c r="D122" s="2" t="inlineStr">
        <is>
          <t xml:space="preserve">Food</t>
        </is>
      </c>
      <c r="E122" s="3">
        <v>8.92</v>
      </c>
    </row>
    <row r="123">
      <c r="A123" s="4">
        <v>46225</v>
      </c>
      <c r="B123" s="2" t="inlineStr">
        <is>
          <t xml:space="preserve">Help.Hbomax.Com</t>
        </is>
      </c>
      <c r="C123" s="2" t="inlineStr">
        <is>
          <t xml:space="preserve">Streaming – HBO Max</t>
        </is>
      </c>
      <c r="D123" s="2" t="inlineStr">
        <is>
          <t xml:space="preserve">Streaming</t>
        </is>
      </c>
      <c r="E123" s="3">
        <v>19.74</v>
      </c>
    </row>
    <row r="124">
      <c r="A124" s="4">
        <v>46226</v>
      </c>
      <c r="B124" s="2" t="inlineStr">
        <is>
          <t xml:space="preserve">Joey O's Brick Ove Ocean Isle Be</t>
        </is>
      </c>
      <c r="C124" s="2" t="inlineStr">
        <is>
          <t xml:space="preserve">Restaurants &amp; Takeout</t>
        </is>
      </c>
      <c r="D124" s="2" t="inlineStr">
        <is>
          <t xml:space="preserve">Food</t>
        </is>
      </c>
      <c r="E124" s="3">
        <v>32.67</v>
      </c>
    </row>
    <row r="125">
      <c r="A125" s="4">
        <v>46226</v>
      </c>
      <c r="B125" s="2" t="inlineStr">
        <is>
          <t xml:space="preserve">Ww Int'L-Digital</t>
        </is>
      </c>
      <c r="C125" s="2" t="inlineStr">
        <is>
          <t xml:space="preserve">Software &amp; Online Subscriptions</t>
        </is>
      </c>
      <c r="D125" s="2" t="inlineStr">
        <is>
          <t xml:space="preserve">Subscriptions</t>
        </is>
      </c>
      <c r="E125" s="3">
        <v>23.0</v>
      </c>
    </row>
    <row r="126">
      <c r="A126" s="4">
        <v>46226</v>
      </c>
      <c r="B126" s="2" t="inlineStr">
        <is>
          <t xml:space="preserve">Dust and Mop House</t>
        </is>
      </c>
      <c r="C126" s="2" t="inlineStr">
        <is>
          <t xml:space="preserve">Dust and Mop House</t>
        </is>
      </c>
      <c r="D126" s="2" t="inlineStr">
        <is>
          <t xml:space="preserve">Excluded</t>
        </is>
      </c>
      <c r="E126" s="3">
        <v>100.0</v>
      </c>
    </row>
    <row r="127">
      <c r="A127" s="4">
        <v>46226</v>
      </c>
      <c r="B127" s="2" t="inlineStr">
        <is>
          <t xml:space="preserve">Dollar General # Dg 11290</t>
        </is>
      </c>
      <c r="C127" s="2" t="inlineStr">
        <is>
          <t xml:space="preserve">Retail – Dollar Tree / Dollar General</t>
        </is>
      </c>
      <c r="D127" s="2" t="inlineStr">
        <is>
          <t xml:space="preserve">Retail</t>
        </is>
      </c>
      <c r="E127" s="3">
        <v>5.87</v>
      </c>
    </row>
    <row r="128">
      <c r="A128" s="8"/>
      <c r="B128" s="8"/>
      <c r="C128" s="8"/>
      <c r="D128" s="8" t="inlineStr">
        <is>
          <t xml:space="preserve">Total spending</t>
        </is>
      </c>
      <c r="E128" s="9">
        <f>SUMIF(D4:D127,"&lt;&gt;Excluded",E4:E127)</f>
        <v>12163.24</v>
      </c>
    </row>
    <row r="129">
      <c r="D129" s="7" t="inlineStr">
        <is>
          <t xml:space="preserve">Not counted (Excluded)</t>
        </is>
      </c>
      <c r="E129" s="6">
        <f>SUMIF(D4:D127,"Excluded",E4:E127)</f>
        <v>13198.33</v>
      </c>
    </row>
  </sheetData>
  <autoFilter ref="A3:E127"/>
  <pageMargins left="0.5" right="0.5" top="0.6" bottom="0.6" header="0.3" footer="0.3"/>
  <pageSetup orientation="landscape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3" topLeftCell="A4" activePane="bottomLeft" state="frozen"/>
    </sheetView>
  </sheetViews>
  <sheetFormatPr defaultRowHeight="15"/>
  <cols>
    <col min="1" max="1" width="11" customWidth="1"/>
    <col min="2" max="2" width="50" customWidth="1"/>
    <col min="3" max="3" width="38" customWidth="1"/>
    <col min="4" max="4" width="16" customWidth="1"/>
    <col min="5" max="5" width="13" customWidth="1"/>
    <col min="6" max="6" width="3" customWidth="1"/>
    <col min="7" max="7" width="40" customWidth="1"/>
    <col min="8" max="8" width="14" customWidth="1"/>
  </cols>
  <sheetData>
    <row r="1">
      <c r="A1" s="10" t="inlineStr">
        <is>
          <t xml:space="preserve">August 2026 Spending — statement period 7/24–8/25/26</t>
        </is>
      </c>
    </row>
    <row r="3">
      <c r="A3" s="1" t="inlineStr">
        <is>
          <t xml:space="preserve">Date</t>
        </is>
      </c>
      <c r="B3" s="15" t="inlineStr">
        <is>
          <t xml:space="preserve">Description</t>
        </is>
      </c>
      <c r="C3" s="1" t="inlineStr">
        <is>
          <t xml:space="preserve">Category</t>
        </is>
      </c>
      <c r="D3" s="1" t="inlineStr">
        <is>
          <t xml:space="preserve">Group</t>
        </is>
      </c>
      <c r="E3" s="1" t="inlineStr">
        <is>
          <t xml:space="preserve">Amount</t>
        </is>
      </c>
      <c r="G3" s="15" t="inlineStr">
        <is>
          <t xml:space="preserve">Category subtotals (this month)</t>
        </is>
      </c>
      <c r="H3" s="1" t="inlineStr">
        <is>
          <t xml:space="preserve">Amount</t>
        </is>
      </c>
    </row>
    <row r="4">
      <c r="A4" s="4">
        <v>46227</v>
      </c>
      <c r="B4" s="2" t="inlineStr">
        <is>
          <t xml:space="preserve">LA Cucina Italiano Sunset Beach</t>
        </is>
      </c>
      <c r="C4" s="2" t="inlineStr">
        <is>
          <t xml:space="preserve">Restaurants &amp; Takeout</t>
        </is>
      </c>
      <c r="D4" s="2" t="inlineStr">
        <is>
          <t xml:space="preserve">Food</t>
        </is>
      </c>
      <c r="E4" s="3">
        <v>54.0</v>
      </c>
      <c r="G4" s="2" t="inlineStr">
        <is>
          <t xml:space="preserve">A&amp;D Mortgage</t>
        </is>
      </c>
      <c r="H4" s="3">
        <f>SUMIF($C$4:$C$110,G4,$E$4:$E$110)</f>
        <v>3411.1</v>
      </c>
    </row>
    <row r="5">
      <c r="A5" s="4">
        <v>46230</v>
      </c>
      <c r="B5" s="2" t="inlineStr">
        <is>
          <t xml:space="preserve">Blondiez Donuts Calabash NC</t>
        </is>
      </c>
      <c r="C5" s="2" t="inlineStr">
        <is>
          <t xml:space="preserve">Restaurants &amp; Takeout</t>
        </is>
      </c>
      <c r="D5" s="2" t="inlineStr">
        <is>
          <t xml:space="preserve">Food</t>
        </is>
      </c>
      <c r="E5" s="3">
        <v>44.55</v>
      </c>
      <c r="G5" s="2" t="inlineStr">
        <is>
          <t xml:space="preserve">Retail – Walmart</t>
        </is>
      </c>
      <c r="H5" s="3">
        <f>SUMIF($C$4:$C$110,G5,$E$4:$E$110)</f>
        <v>1732.6</v>
      </c>
    </row>
    <row r="6">
      <c r="A6" s="4">
        <v>46230</v>
      </c>
      <c r="B6" s="2" t="inlineStr">
        <is>
          <t xml:space="preserve">LA Cucina Italiano Sunset Beach</t>
        </is>
      </c>
      <c r="C6" s="2" t="inlineStr">
        <is>
          <t xml:space="preserve">Restaurants &amp; Takeout</t>
        </is>
      </c>
      <c r="D6" s="2" t="inlineStr">
        <is>
          <t xml:space="preserve">Food</t>
        </is>
      </c>
      <c r="E6" s="3">
        <v>28.23</v>
      </c>
      <c r="G6" s="2" t="inlineStr">
        <is>
          <t xml:space="preserve">St. James Membership (Club)</t>
        </is>
      </c>
      <c r="H6" s="3">
        <f>SUMIF($C$4:$C$110,G6,$E$4:$E$110)</f>
        <v>1492.11</v>
      </c>
    </row>
    <row r="7">
      <c r="A7" s="4">
        <v>46230</v>
      </c>
      <c r="B7" s="2" t="inlineStr">
        <is>
          <t xml:space="preserve">Apple.Com/Bill</t>
        </is>
      </c>
      <c r="C7" s="2" t="inlineStr">
        <is>
          <t xml:space="preserve">Software &amp; Online Subscriptions</t>
        </is>
      </c>
      <c r="D7" s="2" t="inlineStr">
        <is>
          <t xml:space="preserve">Subscriptions</t>
        </is>
      </c>
      <c r="E7" s="3">
        <v>2.99</v>
      </c>
      <c r="G7" s="2" t="inlineStr">
        <is>
          <t xml:space="preserve">Restaurants &amp; Takeout</t>
        </is>
      </c>
      <c r="H7" s="3">
        <f>SUMIF($C$4:$C$110,G7,$E$4:$E$110)</f>
        <v>962.62</v>
      </c>
    </row>
    <row r="8">
      <c r="A8" s="4">
        <v>46230</v>
      </c>
      <c r="B8" s="2" t="inlineStr">
        <is>
          <t xml:space="preserve">Propertyrecs.Com</t>
        </is>
      </c>
      <c r="C8" s="2" t="inlineStr">
        <is>
          <t xml:space="preserve">Software &amp; Online Subscriptions</t>
        </is>
      </c>
      <c r="D8" s="2" t="inlineStr">
        <is>
          <t xml:space="preserve">Subscriptions</t>
        </is>
      </c>
      <c r="E8" s="3">
        <v>20.0</v>
      </c>
      <c r="G8" s="2" t="inlineStr">
        <is>
          <t xml:space="preserve">Banner Life Insurance</t>
        </is>
      </c>
      <c r="H8" s="3">
        <f>SUMIF($C$4:$C$110,G8,$E$4:$E$110)</f>
        <v>710.06</v>
      </c>
    </row>
    <row r="9">
      <c r="A9" s="4">
        <v>46230</v>
      </c>
      <c r="B9" s="2" t="inlineStr">
        <is>
          <t xml:space="preserve">McDonald's F35966 Supply NC</t>
        </is>
      </c>
      <c r="C9" s="2" t="inlineStr">
        <is>
          <t xml:space="preserve">Restaurants &amp; Takeout</t>
        </is>
      </c>
      <c r="D9" s="2" t="inlineStr">
        <is>
          <t xml:space="preserve">Food</t>
        </is>
      </c>
      <c r="E9" s="3">
        <v>9.6</v>
      </c>
      <c r="G9" s="2" t="inlineStr">
        <is>
          <t xml:space="preserve">Grocery – Lowes Foods</t>
        </is>
      </c>
      <c r="H9" s="3">
        <f>SUMIF($C$4:$C$110,G9,$E$4:$E$110)</f>
        <v>584.25</v>
      </c>
    </row>
    <row r="10">
      <c r="A10" s="4">
        <v>46230</v>
      </c>
      <c r="B10" s="2" t="inlineStr">
        <is>
          <t xml:space="preserve">Openai *Chatgpt Su</t>
        </is>
      </c>
      <c r="C10" s="2" t="inlineStr">
        <is>
          <t xml:space="preserve">Software &amp; Online Subscriptions</t>
        </is>
      </c>
      <c r="D10" s="2" t="inlineStr">
        <is>
          <t xml:space="preserve">Subscriptions</t>
        </is>
      </c>
      <c r="E10" s="3">
        <v>20.0</v>
      </c>
      <c r="G10" s="2" t="inlineStr">
        <is>
          <t xml:space="preserve">Grocery – Publix</t>
        </is>
      </c>
      <c r="H10" s="3">
        <f>SUMIF($C$4:$C$110,G10,$E$4:$E$110)</f>
        <v>522.68</v>
      </c>
    </row>
    <row r="11">
      <c r="A11" s="4">
        <v>46230</v>
      </c>
      <c r="B11" s="2" t="inlineStr">
        <is>
          <t xml:space="preserve">Hulu Santa Monica CA</t>
        </is>
      </c>
      <c r="C11" s="2" t="inlineStr">
        <is>
          <t xml:space="preserve">Streaming – Hulu</t>
        </is>
      </c>
      <c r="D11" s="2" t="inlineStr">
        <is>
          <t xml:space="preserve">Streaming</t>
        </is>
      </c>
      <c r="E11" s="3">
        <v>12.8</v>
      </c>
      <c r="G11" s="2" t="inlineStr">
        <is>
          <t xml:space="preserve">Allstate Insurance</t>
        </is>
      </c>
      <c r="H11" s="3">
        <f>SUMIF($C$4:$C$110,G11,$E$4:$E$110)</f>
        <v>475.42</v>
      </c>
    </row>
    <row r="12">
      <c r="A12" s="4">
        <v>46230</v>
      </c>
      <c r="B12" s="2" t="inlineStr">
        <is>
          <t xml:space="preserve">Publix #1631 Ocean Isle Be NC</t>
        </is>
      </c>
      <c r="C12" s="2" t="inlineStr">
        <is>
          <t xml:space="preserve">Grocery – Publix</t>
        </is>
      </c>
      <c r="D12" s="2" t="inlineStr">
        <is>
          <t xml:space="preserve">Groceries</t>
        </is>
      </c>
      <c r="E12" s="3">
        <v>85.7</v>
      </c>
      <c r="G12" s="2" t="inlineStr">
        <is>
          <t xml:space="preserve">Medical – Dosher Hospital (Southport)</t>
        </is>
      </c>
      <c r="H12" s="3">
        <f>SUMIF($C$4:$C$110,G12,$E$4:$E$110)</f>
        <v>467.66</v>
      </c>
    </row>
    <row r="13">
      <c r="A13" s="4">
        <v>46230</v>
      </c>
      <c r="B13" s="2" t="inlineStr">
        <is>
          <t xml:space="preserve">American Express ACH Pmt W9082</t>
        </is>
      </c>
      <c r="C13" s="2" t="inlineStr">
        <is>
          <t xml:space="preserve">Credit Card Payoff – American Express</t>
        </is>
      </c>
      <c r="D13" s="2" t="inlineStr">
        <is>
          <t xml:space="preserve">Excluded</t>
        </is>
      </c>
      <c r="E13" s="3">
        <v>3929.91</v>
      </c>
      <c r="G13" s="2" t="inlineStr">
        <is>
          <t xml:space="preserve">Verizon Wireless</t>
        </is>
      </c>
      <c r="H13" s="3">
        <f>SUMIF($C$4:$C$110,G13,$E$4:$E$110)</f>
        <v>436.02</v>
      </c>
    </row>
    <row r="14">
      <c r="A14" s="4">
        <v>46231</v>
      </c>
      <c r="B14" s="2" t="inlineStr">
        <is>
          <t xml:space="preserve">The Color Bar Hair Oak Island NC</t>
        </is>
      </c>
      <c r="C14" s="2" t="inlineStr">
        <is>
          <t xml:space="preserve">Haircuts – The Color Bar</t>
        </is>
      </c>
      <c r="D14" s="2" t="inlineStr">
        <is>
          <t xml:space="preserve">Personal</t>
        </is>
      </c>
      <c r="E14" s="3">
        <v>32.5</v>
      </c>
      <c r="G14" s="2" t="inlineStr">
        <is>
          <t xml:space="preserve">Health Insurance – Blue Cross NC</t>
        </is>
      </c>
      <c r="H14" s="3">
        <f>SUMIF($C$4:$C$110,G14,$E$4:$E$110)</f>
        <v>432.5</v>
      </c>
    </row>
    <row r="15">
      <c r="A15" s="4">
        <v>46232</v>
      </c>
      <c r="B15" s="2" t="inlineStr">
        <is>
          <t xml:space="preserve">Bemc - Ecc Amanda.Wheele NC</t>
        </is>
      </c>
      <c r="C15" s="2" t="inlineStr">
        <is>
          <t xml:space="preserve">Utility – Electric (BEMC)</t>
        </is>
      </c>
      <c r="D15" s="2" t="inlineStr">
        <is>
          <t xml:space="preserve">Utilities</t>
        </is>
      </c>
      <c r="E15" s="3">
        <v>406.96</v>
      </c>
      <c r="G15" s="2" t="inlineStr">
        <is>
          <t xml:space="preserve">Utility – Electric (BEMC)</t>
        </is>
      </c>
      <c r="H15" s="3">
        <f>SUMIF($C$4:$C$110,G15,$E$4:$E$110)</f>
        <v>406.96</v>
      </c>
    </row>
    <row r="16">
      <c r="A16" s="4">
        <v>46232</v>
      </c>
      <c r="B16" s="2" t="inlineStr">
        <is>
          <t xml:space="preserve">Focus Broadband Clover.Com NC</t>
        </is>
      </c>
      <c r="C16" s="2" t="inlineStr">
        <is>
          <t xml:space="preserve">Internet – Focus Broadband</t>
        </is>
      </c>
      <c r="D16" s="2" t="inlineStr">
        <is>
          <t xml:space="preserve">Phone &amp; Internet</t>
        </is>
      </c>
      <c r="E16" s="3">
        <v>80.79</v>
      </c>
      <c r="G16" s="2" t="inlineStr">
        <is>
          <t xml:space="preserve">CVS Pharmacy</t>
        </is>
      </c>
      <c r="H16" s="3">
        <f>SUMIF($C$4:$C$110,G16,$E$4:$E$110)</f>
        <v>383.24</v>
      </c>
    </row>
    <row r="17">
      <c r="A17" s="4">
        <v>46232</v>
      </c>
      <c r="B17" s="2" t="inlineStr">
        <is>
          <t xml:space="preserve">Pt *Dosher Hospita</t>
        </is>
      </c>
      <c r="C17" s="2" t="inlineStr">
        <is>
          <t xml:space="preserve">Medical – Dosher Hospital (Southport)</t>
        </is>
      </c>
      <c r="D17" s="2" t="inlineStr">
        <is>
          <t xml:space="preserve">Health</t>
        </is>
      </c>
      <c r="E17" s="3">
        <v>342.66</v>
      </c>
      <c r="G17" s="2" t="inlineStr">
        <is>
          <t xml:space="preserve">Transfers to People (Venmo/Zelle)</t>
        </is>
      </c>
      <c r="H17" s="3">
        <f>SUMIF($C$4:$C$110,G17,$E$4:$E$110)</f>
        <v>331.5</v>
      </c>
    </row>
    <row r="18">
      <c r="A18" s="4">
        <v>46232</v>
      </c>
      <c r="B18" s="2" t="inlineStr">
        <is>
          <t xml:space="preserve">Aci*Blue Cross NC</t>
        </is>
      </c>
      <c r="C18" s="2" t="inlineStr">
        <is>
          <t xml:space="preserve">Health Insurance – Blue Cross NC</t>
        </is>
      </c>
      <c r="D18" s="2" t="inlineStr">
        <is>
          <t xml:space="preserve">Insurance</t>
        </is>
      </c>
      <c r="E18" s="3">
        <v>432.5</v>
      </c>
      <c r="G18" s="2" t="inlineStr">
        <is>
          <t xml:space="preserve">Yard Company (NextGen)</t>
        </is>
      </c>
      <c r="H18" s="3">
        <f>SUMIF($C$4:$C$110,G18,$E$4:$E$110)</f>
        <v>220.0</v>
      </c>
    </row>
    <row r="19">
      <c r="A19" s="4">
        <v>46232</v>
      </c>
      <c r="B19" s="2" t="inlineStr">
        <is>
          <t xml:space="preserve">NC Quick Pass 877-769-7277 NC</t>
        </is>
      </c>
      <c r="C19" s="2" t="inlineStr">
        <is>
          <t xml:space="preserve">Tolls &amp; Parking</t>
        </is>
      </c>
      <c r="D19" s="2" t="inlineStr">
        <is>
          <t xml:space="preserve">Transportation</t>
        </is>
      </c>
      <c r="E19" s="3">
        <v>11.84</v>
      </c>
      <c r="G19" s="2" t="inlineStr">
        <is>
          <t xml:space="preserve">Haircuts – The Color Bar</t>
        </is>
      </c>
      <c r="H19" s="3">
        <f>SUMIF($C$4:$C$110,G19,$E$4:$E$110)</f>
        <v>182.5</v>
      </c>
    </row>
    <row r="20">
      <c r="A20" s="4">
        <v>46232</v>
      </c>
      <c r="B20" s="2" t="inlineStr">
        <is>
          <t xml:space="preserve">Autobks*Nextgen LA</t>
        </is>
      </c>
      <c r="C20" s="2" t="inlineStr">
        <is>
          <t xml:space="preserve">Yard Company (NextGen)</t>
        </is>
      </c>
      <c r="D20" s="2" t="inlineStr">
        <is>
          <t xml:space="preserve">Home</t>
        </is>
      </c>
      <c r="E20" s="3">
        <v>100.0</v>
      </c>
      <c r="G20" s="2" t="inlineStr">
        <is>
          <t xml:space="preserve">Utility – Water/Sewer (Brunswick County)</t>
        </is>
      </c>
      <c r="H20" s="3">
        <f>SUMIF($C$4:$C$110,G20,$E$4:$E$110)</f>
        <v>179.33</v>
      </c>
    </row>
    <row r="21">
      <c r="A21" s="4">
        <v>46232</v>
      </c>
      <c r="B21" s="2" t="inlineStr">
        <is>
          <t xml:space="preserve">PY *Manning S Pest</t>
        </is>
      </c>
      <c r="C21" s="2" t="inlineStr">
        <is>
          <t xml:space="preserve">Home Services (Pest Control, Lawn Treatment)</t>
        </is>
      </c>
      <c r="D21" s="2" t="inlineStr">
        <is>
          <t xml:space="preserve">Home</t>
        </is>
      </c>
      <c r="E21" s="3">
        <v>104.0</v>
      </c>
      <c r="G21" s="2" t="inlineStr">
        <is>
          <t xml:space="preserve">Retail – Dillard's</t>
        </is>
      </c>
      <c r="H21" s="3">
        <f>SUMIF($C$4:$C$110,G21,$E$4:$E$110)</f>
        <v>174.74</v>
      </c>
    </row>
    <row r="22">
      <c r="A22" s="4">
        <v>46232</v>
      </c>
      <c r="B22" s="2" t="inlineStr">
        <is>
          <t xml:space="preserve">Google Youtube Tv</t>
        </is>
      </c>
      <c r="C22" s="2" t="inlineStr">
        <is>
          <t xml:space="preserve">Streaming – YouTube TV (Google)</t>
        </is>
      </c>
      <c r="D22" s="2" t="inlineStr">
        <is>
          <t xml:space="preserve">Streaming</t>
        </is>
      </c>
      <c r="E22" s="3">
        <v>89.0</v>
      </c>
      <c r="G22" s="2" t="inlineStr">
        <is>
          <t xml:space="preserve">Retail – Lowe's (home improvement)</t>
        </is>
      </c>
      <c r="H22" s="3">
        <f>SUMIF($C$4:$C$110,G22,$E$4:$E$110)</f>
        <v>171.55</v>
      </c>
    </row>
    <row r="23">
      <c r="A23" s="4">
        <v>46232</v>
      </c>
      <c r="B23" s="2" t="inlineStr">
        <is>
          <t xml:space="preserve">Thai &amp; Vine Oak Island NC</t>
        </is>
      </c>
      <c r="C23" s="2" t="inlineStr">
        <is>
          <t xml:space="preserve">Restaurants &amp; Takeout</t>
        </is>
      </c>
      <c r="D23" s="2" t="inlineStr">
        <is>
          <t xml:space="preserve">Food</t>
        </is>
      </c>
      <c r="E23" s="3">
        <v>49.73</v>
      </c>
      <c r="G23" s="2" t="inlineStr">
        <is>
          <t xml:space="preserve">Gas &amp; Convenience Stores</t>
        </is>
      </c>
      <c r="H23" s="3">
        <f>SUMIF($C$4:$C$110,G23,$E$4:$E$110)</f>
        <v>167.24</v>
      </c>
    </row>
    <row r="24">
      <c r="A24" s="4">
        <v>46232</v>
      </c>
      <c r="B24" s="2" t="inlineStr">
        <is>
          <t xml:space="preserve">Beach Pantry Oak Island NC</t>
        </is>
      </c>
      <c r="C24" s="2" t="inlineStr">
        <is>
          <t xml:space="preserve">Other Food Stores (Harris Teeter, Beach Pantry)</t>
        </is>
      </c>
      <c r="D24" s="2" t="inlineStr">
        <is>
          <t xml:space="preserve">Food</t>
        </is>
      </c>
      <c r="E24" s="3">
        <v>5.85</v>
      </c>
      <c r="G24" s="2" t="inlineStr">
        <is>
          <t xml:space="preserve">Retail – Hobby Lobby</t>
        </is>
      </c>
      <c r="H24" s="3">
        <f>SUMIF($C$4:$C$110,G24,$E$4:$E$110)</f>
        <v>165.67</v>
      </c>
    </row>
    <row r="25">
      <c r="A25" s="4">
        <v>46232</v>
      </c>
      <c r="B25" s="2" t="inlineStr">
        <is>
          <t xml:space="preserve">Roku for Disney El</t>
        </is>
      </c>
      <c r="C25" s="2" t="inlineStr">
        <is>
          <t xml:space="preserve">Streaming – Disney (via Roku)</t>
        </is>
      </c>
      <c r="D25" s="2" t="inlineStr">
        <is>
          <t xml:space="preserve">Streaming</t>
        </is>
      </c>
      <c r="E25" s="3">
        <v>20.27</v>
      </c>
      <c r="G25" s="2" t="inlineStr">
        <is>
          <t xml:space="preserve">Internet – Focus Broadband</t>
        </is>
      </c>
      <c r="H25" s="3">
        <f>SUMIF($C$4:$C$110,G25,$E$4:$E$110)</f>
        <v>161.58</v>
      </c>
    </row>
    <row r="26">
      <c r="A26" s="4">
        <v>46232</v>
      </c>
      <c r="B26" s="2" t="inlineStr">
        <is>
          <t xml:space="preserve">Circlek #2720915 5717 Castle</t>
        </is>
      </c>
      <c r="C26" s="2" t="inlineStr">
        <is>
          <t xml:space="preserve">Gas &amp; Convenience Stores</t>
        </is>
      </c>
      <c r="D26" s="2" t="inlineStr">
        <is>
          <t xml:space="preserve">Transportation</t>
        </is>
      </c>
      <c r="E26" s="3">
        <v>4.06</v>
      </c>
      <c r="G26" s="2" t="inlineStr">
        <is>
          <t xml:space="preserve">Student Loan (Dept of Education)</t>
        </is>
      </c>
      <c r="H26" s="3">
        <f>SUMIF($C$4:$C$110,G26,$E$4:$E$110)</f>
        <v>160.37</v>
      </c>
    </row>
    <row r="27">
      <c r="A27" s="4">
        <v>46232</v>
      </c>
      <c r="B27" s="2" t="inlineStr">
        <is>
          <t xml:space="preserve">Bp#2850600Summi Benson NC</t>
        </is>
      </c>
      <c r="C27" s="2" t="inlineStr">
        <is>
          <t xml:space="preserve">Gas &amp; Convenience Stores</t>
        </is>
      </c>
      <c r="D27" s="2" t="inlineStr">
        <is>
          <t xml:space="preserve">Transportation</t>
        </is>
      </c>
      <c r="E27" s="3">
        <v>47.8</v>
      </c>
      <c r="G27" s="2" t="inlineStr">
        <is>
          <t xml:space="preserve">Home Services (Pest Control, Lawn Treatment)</t>
        </is>
      </c>
      <c r="H27" s="3">
        <f>SUMIF($C$4:$C$110,G27,$E$4:$E$110)</f>
        <v>104.0</v>
      </c>
    </row>
    <row r="28">
      <c r="A28" s="4">
        <v>46233</v>
      </c>
      <c r="B28" s="2" t="inlineStr">
        <is>
          <t xml:space="preserve">Opc*Brunswick CO U</t>
        </is>
      </c>
      <c r="C28" s="2" t="inlineStr">
        <is>
          <t xml:space="preserve">Utility – Water/Sewer (Brunswick County)</t>
        </is>
      </c>
      <c r="D28" s="2" t="inlineStr">
        <is>
          <t xml:space="preserve">Utilities</t>
        </is>
      </c>
      <c r="E28" s="3">
        <v>91.83</v>
      </c>
      <c r="G28" s="2" t="inlineStr">
        <is>
          <t xml:space="preserve">Streaming – YouTube TV (Google)</t>
        </is>
      </c>
      <c r="H28" s="3">
        <f>SUMIF($C$4:$C$110,G28,$E$4:$E$110)</f>
        <v>89.0</v>
      </c>
    </row>
    <row r="29">
      <c r="A29" s="4">
        <v>46233</v>
      </c>
      <c r="B29" s="2" t="inlineStr">
        <is>
          <t xml:space="preserve">Opc Utl*Service Fe</t>
        </is>
      </c>
      <c r="C29" s="2" t="inlineStr">
        <is>
          <t xml:space="preserve">Utility – Water/Sewer (Brunswick County)</t>
        </is>
      </c>
      <c r="D29" s="2" t="inlineStr">
        <is>
          <t xml:space="preserve">Utilities</t>
        </is>
      </c>
      <c r="E29" s="3">
        <v>2.95</v>
      </c>
      <c r="G29" s="2" t="inlineStr">
        <is>
          <t xml:space="preserve">Retail – HomeSense</t>
        </is>
      </c>
      <c r="H29" s="3">
        <f>SUMIF($C$4:$C$110,G29,$E$4:$E$110)</f>
        <v>88.7</v>
      </c>
    </row>
    <row r="30">
      <c r="A30" s="4">
        <v>46233</v>
      </c>
      <c r="B30" s="2" t="inlineStr">
        <is>
          <t xml:space="preserve">Bagel Dock Express Clover.Com</t>
        </is>
      </c>
      <c r="C30" s="2" t="inlineStr">
        <is>
          <t xml:space="preserve">Restaurants &amp; Takeout</t>
        </is>
      </c>
      <c r="D30" s="2" t="inlineStr">
        <is>
          <t xml:space="preserve">Food</t>
        </is>
      </c>
      <c r="E30" s="3">
        <v>28.06</v>
      </c>
      <c r="G30" s="2" t="inlineStr">
        <is>
          <t xml:space="preserve">Grocery – Food Lion</t>
        </is>
      </c>
      <c r="H30" s="3">
        <f>SUMIF($C$4:$C$110,G30,$E$4:$E$110)</f>
        <v>77.34</v>
      </c>
    </row>
    <row r="31">
      <c r="A31" s="4">
        <v>46233</v>
      </c>
      <c r="B31" s="2" t="inlineStr">
        <is>
          <t xml:space="preserve">Piada-59 919-3710787 NC</t>
        </is>
      </c>
      <c r="C31" s="2" t="inlineStr">
        <is>
          <t xml:space="preserve">Restaurants &amp; Takeout</t>
        </is>
      </c>
      <c r="D31" s="2" t="inlineStr">
        <is>
          <t xml:space="preserve">Food</t>
        </is>
      </c>
      <c r="E31" s="3">
        <v>38.1</v>
      </c>
      <c r="G31" s="2" t="inlineStr">
        <is>
          <t xml:space="preserve">Life Insurance (Lincoln National)</t>
        </is>
      </c>
      <c r="H31" s="3">
        <f>SUMIF($C$4:$C$110,G31,$E$4:$E$110)</f>
        <v>73.61</v>
      </c>
    </row>
    <row r="32">
      <c r="A32" s="4">
        <v>46233</v>
      </c>
      <c r="B32" s="2" t="inlineStr">
        <is>
          <t xml:space="preserve">Speedway 44655 Garner NC</t>
        </is>
      </c>
      <c r="C32" s="2" t="inlineStr">
        <is>
          <t xml:space="preserve">Gas &amp; Convenience Stores</t>
        </is>
      </c>
      <c r="D32" s="2" t="inlineStr">
        <is>
          <t xml:space="preserve">Transportation</t>
        </is>
      </c>
      <c r="E32" s="3">
        <v>6.78</v>
      </c>
      <c r="G32" s="2" t="inlineStr">
        <is>
          <t xml:space="preserve">Dental Insurance – Delta Dental</t>
        </is>
      </c>
      <c r="H32" s="3">
        <f>SUMIF($C$4:$C$110,G32,$E$4:$E$110)</f>
        <v>69.36</v>
      </c>
    </row>
    <row r="33">
      <c r="A33" s="4">
        <v>46234</v>
      </c>
      <c r="B33" s="2" t="inlineStr">
        <is>
          <t xml:space="preserve">Raleigh Parking MO</t>
        </is>
      </c>
      <c r="C33" s="2" t="inlineStr">
        <is>
          <t xml:space="preserve">Tolls &amp; Parking</t>
        </is>
      </c>
      <c r="D33" s="2" t="inlineStr">
        <is>
          <t xml:space="preserve">Transportation</t>
        </is>
      </c>
      <c r="E33" s="3">
        <v>1.6</v>
      </c>
      <c r="G33" s="2" t="inlineStr">
        <is>
          <t xml:space="preserve">Software &amp; Online Subscriptions</t>
        </is>
      </c>
      <c r="H33" s="3">
        <f>SUMIF($C$4:$C$110,G33,$E$4:$E$110)</f>
        <v>65.98</v>
      </c>
    </row>
    <row r="34">
      <c r="A34" s="4">
        <v>46234</v>
      </c>
      <c r="B34" s="2" t="inlineStr">
        <is>
          <t xml:space="preserve">Tst*NEW Raleigh Ti Raleigh NC</t>
        </is>
      </c>
      <c r="C34" s="2" t="inlineStr">
        <is>
          <t xml:space="preserve">Restaurants &amp; Takeout</t>
        </is>
      </c>
      <c r="D34" s="2" t="inlineStr">
        <is>
          <t xml:space="preserve">Food</t>
        </is>
      </c>
      <c r="E34" s="3">
        <v>64.59</v>
      </c>
      <c r="G34" s="2" t="inlineStr">
        <is>
          <t xml:space="preserve">Retail – Tractor Supply</t>
        </is>
      </c>
      <c r="H34" s="3">
        <f>SUMIF($C$4:$C$110,G34,$E$4:$E$110)</f>
        <v>29.86</v>
      </c>
    </row>
    <row r="35">
      <c r="A35" s="4">
        <v>46234</v>
      </c>
      <c r="B35" s="2" t="inlineStr">
        <is>
          <t xml:space="preserve">Raleigh Durham Emb Cary NC</t>
        </is>
      </c>
      <c r="C35" s="2" t="inlineStr">
        <is>
          <t xml:space="preserve">Tolls &amp; Parking</t>
        </is>
      </c>
      <c r="D35" s="2" t="inlineStr">
        <is>
          <t xml:space="preserve">Transportation</t>
        </is>
      </c>
      <c r="E35" s="3">
        <v>5.0</v>
      </c>
      <c r="G35" s="2" t="inlineStr">
        <is>
          <t xml:space="preserve">Streaming – Frndly TV</t>
        </is>
      </c>
      <c r="H35" s="3">
        <f>SUMIF($C$4:$C$110,G35,$E$4:$E$110)</f>
        <v>22.41</v>
      </c>
    </row>
    <row r="36">
      <c r="A36" s="4">
        <v>46234</v>
      </c>
      <c r="B36" s="2" t="inlineStr">
        <is>
          <t xml:space="preserve">Cvs/Pharmacy #0738 South Port</t>
        </is>
      </c>
      <c r="C36" s="2" t="inlineStr">
        <is>
          <t xml:space="preserve">CVS Pharmacy</t>
        </is>
      </c>
      <c r="D36" s="2" t="inlineStr">
        <is>
          <t xml:space="preserve">Health</t>
        </is>
      </c>
      <c r="E36" s="3">
        <v>202.55</v>
      </c>
      <c r="G36" s="2" t="inlineStr">
        <is>
          <t xml:space="preserve">Streaming – Disney (via Roku)</t>
        </is>
      </c>
      <c r="H36" s="3">
        <f>SUMIF($C$4:$C$110,G36,$E$4:$E$110)</f>
        <v>20.27</v>
      </c>
    </row>
    <row r="37">
      <c r="A37" s="4">
        <v>46234</v>
      </c>
      <c r="B37" s="2" t="inlineStr">
        <is>
          <t xml:space="preserve">Wal-Mart #2772 Southport NC</t>
        </is>
      </c>
      <c r="C37" s="2" t="inlineStr">
        <is>
          <t xml:space="preserve">Retail – Walmart</t>
        </is>
      </c>
      <c r="D37" s="2" t="inlineStr">
        <is>
          <t xml:space="preserve">Retail</t>
        </is>
      </c>
      <c r="E37" s="3">
        <v>1461.9</v>
      </c>
      <c r="G37" s="2" t="inlineStr">
        <is>
          <t xml:space="preserve">Tolls &amp; Parking</t>
        </is>
      </c>
      <c r="H37" s="3">
        <f>SUMIF($C$4:$C$110,G37,$E$4:$E$110)</f>
        <v>18.44</v>
      </c>
    </row>
    <row r="38">
      <c r="A38" s="4">
        <v>46237</v>
      </c>
      <c r="B38" s="2" t="inlineStr">
        <is>
          <t xml:space="preserve">Wendys 1359 Creedmoor NC</t>
        </is>
      </c>
      <c r="C38" s="2" t="inlineStr">
        <is>
          <t xml:space="preserve">Restaurants &amp; Takeout</t>
        </is>
      </c>
      <c r="D38" s="2" t="inlineStr">
        <is>
          <t xml:space="preserve">Food</t>
        </is>
      </c>
      <c r="E38" s="3">
        <v>16.52</v>
      </c>
      <c r="G38" s="2" t="inlineStr">
        <is>
          <t xml:space="preserve">Retail – Dollar Tree / Dollar General</t>
        </is>
      </c>
      <c r="H38" s="3">
        <f>SUMIF($C$4:$C$110,G38,$E$4:$E$110)</f>
        <v>17.35</v>
      </c>
    </row>
    <row r="39">
      <c r="A39" s="4">
        <v>46237</v>
      </c>
      <c r="B39" s="2" t="inlineStr">
        <is>
          <t xml:space="preserve">Wendys 333 Garner NC</t>
        </is>
      </c>
      <c r="C39" s="2" t="inlineStr">
        <is>
          <t xml:space="preserve">Restaurants &amp; Takeout</t>
        </is>
      </c>
      <c r="D39" s="2" t="inlineStr">
        <is>
          <t xml:space="preserve">Food</t>
        </is>
      </c>
      <c r="E39" s="3">
        <v>14.48</v>
      </c>
      <c r="G39" s="2" t="inlineStr">
        <is>
          <t xml:space="preserve">Streaming – ESPN (Sept billed as Disney Plus)</t>
        </is>
      </c>
      <c r="H39" s="3">
        <f>SUMIF($C$4:$C$110,G39,$E$4:$E$110)</f>
        <v>13.87</v>
      </c>
    </row>
    <row r="40">
      <c r="A40" s="4">
        <v>46237</v>
      </c>
      <c r="B40" s="2" t="inlineStr">
        <is>
          <t xml:space="preserve">Burney's Bakery of Southport NC</t>
        </is>
      </c>
      <c r="C40" s="2" t="inlineStr">
        <is>
          <t xml:space="preserve">Restaurants &amp; Takeout</t>
        </is>
      </c>
      <c r="D40" s="2" t="inlineStr">
        <is>
          <t xml:space="preserve">Food</t>
        </is>
      </c>
      <c r="E40" s="3">
        <v>9.27</v>
      </c>
      <c r="G40" s="2" t="inlineStr">
        <is>
          <t xml:space="preserve">Entertainment (Surf Cinema)</t>
        </is>
      </c>
      <c r="H40" s="3">
        <f>SUMIF($C$4:$C$110,G40,$E$4:$E$110)</f>
        <v>13.5</v>
      </c>
    </row>
    <row r="41">
      <c r="A41" s="4">
        <v>46237</v>
      </c>
      <c r="B41" s="2" t="inlineStr">
        <is>
          <t xml:space="preserve">DD *Doordash Sanfe</t>
        </is>
      </c>
      <c r="C41" s="2" t="inlineStr">
        <is>
          <t xml:space="preserve">Restaurants &amp; Takeout</t>
        </is>
      </c>
      <c r="D41" s="2" t="inlineStr">
        <is>
          <t xml:space="preserve">Food</t>
        </is>
      </c>
      <c r="E41" s="3">
        <v>55.64</v>
      </c>
      <c r="G41" s="2" t="inlineStr">
        <is>
          <t xml:space="preserve">Streaming – Hulu</t>
        </is>
      </c>
      <c r="H41" s="3">
        <f>SUMIF($C$4:$C$110,G41,$E$4:$E$110)</f>
        <v>12.8</v>
      </c>
    </row>
    <row r="42">
      <c r="A42" s="4">
        <v>46237</v>
      </c>
      <c r="B42" s="2" t="inlineStr">
        <is>
          <t xml:space="preserve">Allstate *Payme 800-255-7828</t>
        </is>
      </c>
      <c r="C42" s="2" t="inlineStr">
        <is>
          <t xml:space="preserve">Allstate Insurance</t>
        </is>
      </c>
      <c r="D42" s="2" t="inlineStr">
        <is>
          <t xml:space="preserve">Insurance</t>
        </is>
      </c>
      <c r="E42" s="3">
        <v>115.0</v>
      </c>
      <c r="G42" s="2" t="inlineStr">
        <is>
          <t xml:space="preserve">Other Food Stores (Harris Teeter, Beach Pantry)</t>
        </is>
      </c>
      <c r="H42" s="3">
        <f>SUMIF($C$4:$C$110,G42,$E$4:$E$110)</f>
        <v>5.85</v>
      </c>
    </row>
    <row r="43">
      <c r="A43" s="4">
        <v>46237</v>
      </c>
      <c r="B43" s="2" t="inlineStr">
        <is>
          <t xml:space="preserve">Publix #1703 Oak Island NC</t>
        </is>
      </c>
      <c r="C43" s="2" t="inlineStr">
        <is>
          <t xml:space="preserve">Grocery – Publix</t>
        </is>
      </c>
      <c r="D43" s="2" t="inlineStr">
        <is>
          <t xml:space="preserve">Groceries</t>
        </is>
      </c>
      <c r="E43" s="3">
        <v>239.44</v>
      </c>
      <c r="G43" s="8" t="inlineStr">
        <is>
          <t xml:space="preserve">Total spending</t>
        </is>
      </c>
      <c r="H43" s="9">
        <f>SUM(H4:H42)</f>
        <v>14654.04</v>
      </c>
    </row>
    <row r="44">
      <c r="A44" s="4">
        <v>46237</v>
      </c>
      <c r="B44" s="2" t="inlineStr">
        <is>
          <t xml:space="preserve">7-Eleven Myrtle Beach SC</t>
        </is>
      </c>
      <c r="C44" s="2" t="inlineStr">
        <is>
          <t xml:space="preserve">Gas &amp; Convenience Stores</t>
        </is>
      </c>
      <c r="D44" s="2" t="inlineStr">
        <is>
          <t xml:space="preserve">Transportation</t>
        </is>
      </c>
      <c r="E44" s="3">
        <v>9.47</v>
      </c>
    </row>
    <row r="45">
      <c r="A45" s="4">
        <v>46237</v>
      </c>
      <c r="B45" s="2" t="inlineStr">
        <is>
          <t xml:space="preserve">Circlek #2723140 3498 Little</t>
        </is>
      </c>
      <c r="C45" s="2" t="inlineStr">
        <is>
          <t xml:space="preserve">Gas &amp; Convenience Stores</t>
        </is>
      </c>
      <c r="D45" s="2" t="inlineStr">
        <is>
          <t xml:space="preserve">Transportation</t>
        </is>
      </c>
      <c r="E45" s="3">
        <v>46.23</v>
      </c>
      <c r="G45" s="7" t="inlineStr">
        <is>
          <t xml:space="preserve">Not counted as spending</t>
        </is>
      </c>
      <c r="H45" s="7"/>
    </row>
    <row r="46">
      <c r="A46" s="4">
        <v>46238</v>
      </c>
      <c r="B46" s="2" t="inlineStr">
        <is>
          <t xml:space="preserve">DD/Br #338554 Q35 Little River</t>
        </is>
      </c>
      <c r="C46" s="2" t="inlineStr">
        <is>
          <t xml:space="preserve">Restaurants &amp; Takeout</t>
        </is>
      </c>
      <c r="D46" s="2" t="inlineStr">
        <is>
          <t xml:space="preserve">Food</t>
        </is>
      </c>
      <c r="E46" s="3">
        <v>10.91</v>
      </c>
      <c r="G46" s="2" t="inlineStr">
        <is>
          <t xml:space="preserve">Checks Written (payee not shown)</t>
        </is>
      </c>
      <c r="H46" s="3">
        <f>SUMIF($C$4:$C$110,G46,$E$4:$E$110)</f>
        <v>728.0</v>
      </c>
    </row>
    <row r="47">
      <c r="A47" s="4">
        <v>46238</v>
      </c>
      <c r="B47" s="2" t="inlineStr">
        <is>
          <t xml:space="preserve">Lowe's Foods #1 Oak Island NC</t>
        </is>
      </c>
      <c r="C47" s="2" t="inlineStr">
        <is>
          <t xml:space="preserve">Grocery – Lowes Foods</t>
        </is>
      </c>
      <c r="D47" s="2" t="inlineStr">
        <is>
          <t xml:space="preserve">Groceries</t>
        </is>
      </c>
      <c r="E47" s="3">
        <v>63.82</v>
      </c>
      <c r="G47" s="2" t="inlineStr">
        <is>
          <t xml:space="preserve">Credit Card Payoff – American Express</t>
        </is>
      </c>
      <c r="H47" s="3">
        <f>SUMIF($C$4:$C$110,G47,$E$4:$E$110)</f>
        <v>4593.08</v>
      </c>
    </row>
    <row r="48">
      <c r="A48" s="4">
        <v>46238</v>
      </c>
      <c r="B48" s="2" t="inlineStr">
        <is>
          <t xml:space="preserve">Dollartree Southport NC</t>
        </is>
      </c>
      <c r="C48" s="2" t="inlineStr">
        <is>
          <t xml:space="preserve">Retail – Dollar Tree / Dollar General</t>
        </is>
      </c>
      <c r="D48" s="2" t="inlineStr">
        <is>
          <t xml:space="preserve">Retail</t>
        </is>
      </c>
      <c r="E48" s="3">
        <v>17.35</v>
      </c>
      <c r="G48" s="2" t="inlineStr">
        <is>
          <t xml:space="preserve">Dust and Mop House</t>
        </is>
      </c>
      <c r="H48" s="3">
        <f>SUMIF($C$4:$C$110,G48,$E$4:$E$110)</f>
        <v>432.6</v>
      </c>
    </row>
    <row r="49">
      <c r="A49" s="4">
        <v>46238</v>
      </c>
      <c r="B49" s="2" t="inlineStr">
        <is>
          <t xml:space="preserve">Hobbylobby Southport NC</t>
        </is>
      </c>
      <c r="C49" s="2" t="inlineStr">
        <is>
          <t xml:space="preserve">Retail – Hobby Lobby</t>
        </is>
      </c>
      <c r="D49" s="2" t="inlineStr">
        <is>
          <t xml:space="preserve">Retail</t>
        </is>
      </c>
      <c r="E49" s="3">
        <v>20.66</v>
      </c>
      <c r="G49" s="2" t="inlineStr">
        <is>
          <t xml:space="preserve">WTW Health Premium (reimbursed by Via Benefits)</t>
        </is>
      </c>
      <c r="H49" s="3">
        <f>SUMIF($C$4:$C$110,G49,$E$4:$E$110)</f>
        <v>2576.0</v>
      </c>
    </row>
    <row r="50">
      <c r="A50" s="4">
        <v>46238</v>
      </c>
      <c r="B50" s="2" t="inlineStr">
        <is>
          <t xml:space="preserve">Food Lion #2223 4891 L</t>
        </is>
      </c>
      <c r="C50" s="2" t="inlineStr">
        <is>
          <t xml:space="preserve">Grocery – Food Lion</t>
        </is>
      </c>
      <c r="D50" s="2" t="inlineStr">
        <is>
          <t xml:space="preserve">Groceries</t>
        </is>
      </c>
      <c r="E50" s="3">
        <v>77.34</v>
      </c>
    </row>
    <row r="51">
      <c r="A51" s="4">
        <v>46239</v>
      </c>
      <c r="B51" s="2" t="inlineStr">
        <is>
          <t xml:space="preserve">Del Taco 1615 Myrtle Beach SC</t>
        </is>
      </c>
      <c r="C51" s="2" t="inlineStr">
        <is>
          <t xml:space="preserve">Restaurants &amp; Takeout</t>
        </is>
      </c>
      <c r="D51" s="2" t="inlineStr">
        <is>
          <t xml:space="preserve">Food</t>
        </is>
      </c>
      <c r="E51" s="3">
        <v>18.1</v>
      </c>
    </row>
    <row r="52">
      <c r="A52" s="4">
        <v>46239</v>
      </c>
      <c r="B52" s="2" t="inlineStr">
        <is>
          <t xml:space="preserve">Autobks*Nextgen LA</t>
        </is>
      </c>
      <c r="C52" s="2" t="inlineStr">
        <is>
          <t xml:space="preserve">Yard Company (NextGen)</t>
        </is>
      </c>
      <c r="D52" s="2" t="inlineStr">
        <is>
          <t xml:space="preserve">Home</t>
        </is>
      </c>
      <c r="E52" s="3">
        <v>60.0</v>
      </c>
    </row>
    <row r="53">
      <c r="A53" s="4">
        <v>46239</v>
      </c>
      <c r="B53" s="2" t="inlineStr">
        <is>
          <t xml:space="preserve">Frndlytv Inc*+ 1Ad</t>
        </is>
      </c>
      <c r="C53" s="2" t="inlineStr">
        <is>
          <t xml:space="preserve">Streaming – Frndly TV</t>
        </is>
      </c>
      <c r="D53" s="2" t="inlineStr">
        <is>
          <t xml:space="preserve">Streaming</t>
        </is>
      </c>
      <c r="E53" s="3">
        <v>22.41</v>
      </c>
    </row>
    <row r="54">
      <c r="A54" s="4">
        <v>46239</v>
      </c>
      <c r="B54" s="2" t="inlineStr">
        <is>
          <t xml:space="preserve">Publix #1703 Oak Island NC</t>
        </is>
      </c>
      <c r="C54" s="2" t="inlineStr">
        <is>
          <t xml:space="preserve">Grocery – Publix</t>
        </is>
      </c>
      <c r="D54" s="2" t="inlineStr">
        <is>
          <t xml:space="preserve">Groceries</t>
        </is>
      </c>
      <c r="E54" s="3">
        <v>15.39</v>
      </c>
    </row>
    <row r="55">
      <c r="A55" s="4">
        <v>46239</v>
      </c>
      <c r="B55" s="2" t="inlineStr">
        <is>
          <t xml:space="preserve">Dust and Mop House</t>
        </is>
      </c>
      <c r="C55" s="2" t="inlineStr">
        <is>
          <t xml:space="preserve">Dust and Mop House</t>
        </is>
      </c>
      <c r="D55" s="2" t="inlineStr">
        <is>
          <t xml:space="preserve">Excluded</t>
        </is>
      </c>
      <c r="E55" s="3">
        <v>432.6</v>
      </c>
    </row>
    <row r="56">
      <c r="A56" s="4">
        <v>46239</v>
      </c>
      <c r="B56" s="2" t="inlineStr">
        <is>
          <t xml:space="preserve">Check #102</t>
        </is>
      </c>
      <c r="C56" s="2" t="inlineStr">
        <is>
          <t xml:space="preserve">Checks Written (payee not shown)</t>
        </is>
      </c>
      <c r="D56" s="2" t="inlineStr">
        <is>
          <t xml:space="preserve">Excluded</t>
        </is>
      </c>
      <c r="E56" s="3">
        <v>378.0</v>
      </c>
    </row>
    <row r="57">
      <c r="A57" s="4">
        <v>46240</v>
      </c>
      <c r="B57" s="2" t="inlineStr">
        <is>
          <t xml:space="preserve">Cvs/Pharmacy #0738 South Port</t>
        </is>
      </c>
      <c r="C57" s="2" t="inlineStr">
        <is>
          <t xml:space="preserve">CVS Pharmacy</t>
        </is>
      </c>
      <c r="D57" s="2" t="inlineStr">
        <is>
          <t xml:space="preserve">Health</t>
        </is>
      </c>
      <c r="E57" s="3">
        <v>149.55</v>
      </c>
    </row>
    <row r="58">
      <c r="A58" s="4">
        <v>46240</v>
      </c>
      <c r="B58" s="2" t="inlineStr">
        <is>
          <t xml:space="preserve">Lowes Foods #27 Southport NC</t>
        </is>
      </c>
      <c r="C58" s="2" t="inlineStr">
        <is>
          <t xml:space="preserve">Grocery – Lowes Foods</t>
        </is>
      </c>
      <c r="D58" s="2" t="inlineStr">
        <is>
          <t xml:space="preserve">Groceries</t>
        </is>
      </c>
      <c r="E58" s="3">
        <v>60.15</v>
      </c>
    </row>
    <row r="59">
      <c r="A59" s="4">
        <v>46240</v>
      </c>
      <c r="B59" s="2" t="inlineStr">
        <is>
          <t xml:space="preserve">Delta Dental of Delta Dent</t>
        </is>
      </c>
      <c r="C59" s="2" t="inlineStr">
        <is>
          <t xml:space="preserve">Dental Insurance – Delta Dental</t>
        </is>
      </c>
      <c r="D59" s="2" t="inlineStr">
        <is>
          <t xml:space="preserve">Insurance</t>
        </is>
      </c>
      <c r="E59" s="3">
        <v>69.36</v>
      </c>
    </row>
    <row r="60">
      <c r="A60" s="4">
        <v>46240</v>
      </c>
      <c r="B60" s="2" t="inlineStr">
        <is>
          <t xml:space="preserve">Wtw Ccc Tccc 2026Aug</t>
        </is>
      </c>
      <c r="C60" s="2" t="inlineStr">
        <is>
          <t xml:space="preserve">WTW Health Premium (reimbursed by Via Benefits)</t>
        </is>
      </c>
      <c r="D60" s="2" t="inlineStr">
        <is>
          <t xml:space="preserve">Excluded</t>
        </is>
      </c>
      <c r="E60" s="3">
        <v>2576.0</v>
      </c>
    </row>
    <row r="61">
      <c r="A61" s="4">
        <v>46241</v>
      </c>
      <c r="B61" s="2" t="inlineStr">
        <is>
          <t xml:space="preserve">Venmo *Jared Tinstman</t>
        </is>
      </c>
      <c r="C61" s="2" t="inlineStr">
        <is>
          <t xml:space="preserve">Transfers to People (Venmo/Zelle)</t>
        </is>
      </c>
      <c r="D61" s="2" t="inlineStr">
        <is>
          <t xml:space="preserve">Transfers</t>
        </is>
      </c>
      <c r="E61" s="3">
        <v>331.5</v>
      </c>
    </row>
    <row r="62">
      <c r="A62" s="4">
        <v>46241</v>
      </c>
      <c r="B62" s="2" t="inlineStr">
        <is>
          <t xml:space="preserve">Lowe's #682 Southport NC</t>
        </is>
      </c>
      <c r="C62" s="2" t="inlineStr">
        <is>
          <t xml:space="preserve">Retail – Lowe's (home improvement)</t>
        </is>
      </c>
      <c r="D62" s="2" t="inlineStr">
        <is>
          <t xml:space="preserve">Retail</t>
        </is>
      </c>
      <c r="E62" s="3">
        <v>171.55</v>
      </c>
    </row>
    <row r="63">
      <c r="A63" s="4">
        <v>46244</v>
      </c>
      <c r="B63" s="2" t="inlineStr">
        <is>
          <t xml:space="preserve">Focus Broadband Clover.Com NC</t>
        </is>
      </c>
      <c r="C63" s="2" t="inlineStr">
        <is>
          <t xml:space="preserve">Internet – Focus Broadband</t>
        </is>
      </c>
      <c r="D63" s="2" t="inlineStr">
        <is>
          <t xml:space="preserve">Phone &amp; Internet</t>
        </is>
      </c>
      <c r="E63" s="3">
        <v>80.79</v>
      </c>
    </row>
    <row r="64">
      <c r="A64" s="4">
        <v>46244</v>
      </c>
      <c r="B64" s="2" t="inlineStr">
        <is>
          <t xml:space="preserve">McDonald's F7702 Southport NC</t>
        </is>
      </c>
      <c r="C64" s="2" t="inlineStr">
        <is>
          <t xml:space="preserve">Restaurants &amp; Takeout</t>
        </is>
      </c>
      <c r="D64" s="2" t="inlineStr">
        <is>
          <t xml:space="preserve">Food</t>
        </is>
      </c>
      <c r="E64" s="3">
        <v>7.76</v>
      </c>
    </row>
    <row r="65">
      <c r="A65" s="4">
        <v>46244</v>
      </c>
      <c r="B65" s="2" t="inlineStr">
        <is>
          <t xml:space="preserve">Surf Cinema 4 B&amp;M Southport</t>
        </is>
      </c>
      <c r="C65" s="2" t="inlineStr">
        <is>
          <t xml:space="preserve">Entertainment (Surf Cinema)</t>
        </is>
      </c>
      <c r="D65" s="2" t="inlineStr">
        <is>
          <t xml:space="preserve">Recreation</t>
        </is>
      </c>
      <c r="E65" s="3">
        <v>13.5</v>
      </c>
    </row>
    <row r="66">
      <c r="A66" s="4">
        <v>46244</v>
      </c>
      <c r="B66" s="2" t="inlineStr">
        <is>
          <t xml:space="preserve">San Felipe Mexican</t>
        </is>
      </c>
      <c r="C66" s="2" t="inlineStr">
        <is>
          <t xml:space="preserve">Restaurants &amp; Takeout</t>
        </is>
      </c>
      <c r="D66" s="2" t="inlineStr">
        <is>
          <t xml:space="preserve">Food</t>
        </is>
      </c>
      <c r="E66" s="3">
        <v>53.26</v>
      </c>
    </row>
    <row r="67">
      <c r="A67" s="4">
        <v>46244</v>
      </c>
      <c r="B67" s="2" t="inlineStr">
        <is>
          <t xml:space="preserve">WM Supercenter #2772</t>
        </is>
      </c>
      <c r="C67" s="2" t="inlineStr">
        <is>
          <t xml:space="preserve">Retail – Walmart</t>
        </is>
      </c>
      <c r="D67" s="2" t="inlineStr">
        <is>
          <t xml:space="preserve">Retail</t>
        </is>
      </c>
      <c r="E67" s="3">
        <v>145.54</v>
      </c>
    </row>
    <row r="68">
      <c r="A68" s="4">
        <v>46244</v>
      </c>
      <c r="B68" s="2" t="inlineStr">
        <is>
          <t xml:space="preserve">Banner Life Prem Debit 17180884647</t>
        </is>
      </c>
      <c r="C68" s="2" t="inlineStr">
        <is>
          <t xml:space="preserve">Banner Life Insurance</t>
        </is>
      </c>
      <c r="D68" s="2" t="inlineStr">
        <is>
          <t xml:space="preserve">Insurance</t>
        </is>
      </c>
      <c r="E68" s="3">
        <v>710.06</v>
      </c>
    </row>
    <row r="69">
      <c r="A69" s="4">
        <v>46245</v>
      </c>
      <c r="B69" s="2" t="inlineStr">
        <is>
          <t xml:space="preserve">Propertyrecs.Com</t>
        </is>
      </c>
      <c r="C69" s="2" t="inlineStr">
        <is>
          <t xml:space="preserve">Software &amp; Online Subscriptions</t>
        </is>
      </c>
      <c r="D69" s="2" t="inlineStr">
        <is>
          <t xml:space="preserve">Subscriptions</t>
        </is>
      </c>
      <c r="E69" s="3">
        <v>20.0</v>
      </c>
    </row>
    <row r="70">
      <c r="A70" s="4">
        <v>46245</v>
      </c>
      <c r="B70" s="2" t="inlineStr">
        <is>
          <t xml:space="preserve">Publix #1703 Oak Island NC</t>
        </is>
      </c>
      <c r="C70" s="2" t="inlineStr">
        <is>
          <t xml:space="preserve">Grocery – Publix</t>
        </is>
      </c>
      <c r="D70" s="2" t="inlineStr">
        <is>
          <t xml:space="preserve">Groceries</t>
        </is>
      </c>
      <c r="E70" s="3">
        <v>182.15</v>
      </c>
    </row>
    <row r="71">
      <c r="A71" s="4">
        <v>46245</v>
      </c>
      <c r="B71" s="2" t="inlineStr">
        <is>
          <t xml:space="preserve">Check #518</t>
        </is>
      </c>
      <c r="C71" s="2" t="inlineStr">
        <is>
          <t xml:space="preserve">Checks Written (payee not shown)</t>
        </is>
      </c>
      <c r="D71" s="2" t="inlineStr">
        <is>
          <t xml:space="preserve">Excluded</t>
        </is>
      </c>
      <c r="E71" s="3">
        <v>150.0</v>
      </c>
    </row>
    <row r="72">
      <c r="A72" s="4">
        <v>46246</v>
      </c>
      <c r="B72" s="2" t="inlineStr">
        <is>
          <t xml:space="preserve">Opc*Brunswick CO U</t>
        </is>
      </c>
      <c r="C72" s="2" t="inlineStr">
        <is>
          <t xml:space="preserve">Utility – Water/Sewer (Brunswick County)</t>
        </is>
      </c>
      <c r="D72" s="2" t="inlineStr">
        <is>
          <t xml:space="preserve">Utilities</t>
        </is>
      </c>
      <c r="E72" s="3">
        <v>81.6</v>
      </c>
    </row>
    <row r="73">
      <c r="A73" s="4">
        <v>46246</v>
      </c>
      <c r="B73" s="2" t="inlineStr">
        <is>
          <t xml:space="preserve">Opc Utl*Service Fe</t>
        </is>
      </c>
      <c r="C73" s="2" t="inlineStr">
        <is>
          <t xml:space="preserve">Utility – Water/Sewer (Brunswick County)</t>
        </is>
      </c>
      <c r="D73" s="2" t="inlineStr">
        <is>
          <t xml:space="preserve">Utilities</t>
        </is>
      </c>
      <c r="E73" s="3">
        <v>2.95</v>
      </c>
    </row>
    <row r="74">
      <c r="A74" s="4">
        <v>46247</v>
      </c>
      <c r="B74" s="2" t="inlineStr">
        <is>
          <t xml:space="preserve">Jersey Mikes 3265 Oak Island NC</t>
        </is>
      </c>
      <c r="C74" s="2" t="inlineStr">
        <is>
          <t xml:space="preserve">Restaurants &amp; Takeout</t>
        </is>
      </c>
      <c r="D74" s="2" t="inlineStr">
        <is>
          <t xml:space="preserve">Food</t>
        </is>
      </c>
      <c r="E74" s="3">
        <v>17.73</v>
      </c>
    </row>
    <row r="75">
      <c r="A75" s="4">
        <v>46247</v>
      </c>
      <c r="B75" s="2" t="inlineStr">
        <is>
          <t xml:space="preserve">Espn 800-7271800 NY</t>
        </is>
      </c>
      <c r="C75" s="2" t="inlineStr">
        <is>
          <t xml:space="preserve">Streaming – ESPN (Sept billed as Disney Plus)</t>
        </is>
      </c>
      <c r="D75" s="2" t="inlineStr">
        <is>
          <t xml:space="preserve">Streaming</t>
        </is>
      </c>
      <c r="E75" s="3">
        <v>13.87</v>
      </c>
    </row>
    <row r="76">
      <c r="A76" s="4">
        <v>46248</v>
      </c>
      <c r="B76" s="2" t="inlineStr">
        <is>
          <t xml:space="preserve">Pt *Dosher Hospita Southport</t>
        </is>
      </c>
      <c r="C76" s="2" t="inlineStr">
        <is>
          <t xml:space="preserve">Medical – Dosher Hospital (Southport)</t>
        </is>
      </c>
      <c r="D76" s="2" t="inlineStr">
        <is>
          <t xml:space="preserve">Health</t>
        </is>
      </c>
      <c r="E76" s="3">
        <v>125.0</v>
      </c>
    </row>
    <row r="77">
      <c r="A77" s="4">
        <v>46248</v>
      </c>
      <c r="B77" s="2" t="inlineStr">
        <is>
          <t xml:space="preserve">Homesense #2009 Wilmington</t>
        </is>
      </c>
      <c r="C77" s="2" t="inlineStr">
        <is>
          <t xml:space="preserve">Retail – HomeSense</t>
        </is>
      </c>
      <c r="D77" s="2" t="inlineStr">
        <is>
          <t xml:space="preserve">Retail</t>
        </is>
      </c>
      <c r="E77" s="3">
        <v>88.7</v>
      </c>
    </row>
    <row r="78">
      <c r="A78" s="4">
        <v>46248</v>
      </c>
      <c r="B78" s="2" t="inlineStr">
        <is>
          <t xml:space="preserve">Dillards 156 Westfield</t>
        </is>
      </c>
      <c r="C78" s="2" t="inlineStr">
        <is>
          <t xml:space="preserve">Retail – Dillard's</t>
        </is>
      </c>
      <c r="D78" s="2" t="inlineStr">
        <is>
          <t xml:space="preserve">Retail</t>
        </is>
      </c>
      <c r="E78" s="3">
        <v>120.44</v>
      </c>
    </row>
    <row r="79">
      <c r="A79" s="4">
        <v>46248</v>
      </c>
      <c r="B79" s="2" t="inlineStr">
        <is>
          <t xml:space="preserve">Dept Education Student Ln 0000</t>
        </is>
      </c>
      <c r="C79" s="2" t="inlineStr">
        <is>
          <t xml:space="preserve">Student Loan (Dept of Education)</t>
        </is>
      </c>
      <c r="D79" s="2" t="inlineStr">
        <is>
          <t xml:space="preserve">Student Loan</t>
        </is>
      </c>
      <c r="E79" s="3">
        <v>160.37</v>
      </c>
    </row>
    <row r="80">
      <c r="A80" s="4">
        <v>46251</v>
      </c>
      <c r="B80" s="2" t="inlineStr">
        <is>
          <t xml:space="preserve">Par*Drift Coffee &amp; Wilmington</t>
        </is>
      </c>
      <c r="C80" s="2" t="inlineStr">
        <is>
          <t xml:space="preserve">Restaurants &amp; Takeout</t>
        </is>
      </c>
      <c r="D80" s="2" t="inlineStr">
        <is>
          <t xml:space="preserve">Food</t>
        </is>
      </c>
      <c r="E80" s="3">
        <v>43.52</v>
      </c>
    </row>
    <row r="81">
      <c r="A81" s="4">
        <v>46251</v>
      </c>
      <c r="B81" s="2" t="inlineStr">
        <is>
          <t xml:space="preserve">Thai &amp; Vine Oak Island NC</t>
        </is>
      </c>
      <c r="C81" s="2" t="inlineStr">
        <is>
          <t xml:space="preserve">Restaurants &amp; Takeout</t>
        </is>
      </c>
      <c r="D81" s="2" t="inlineStr">
        <is>
          <t xml:space="preserve">Food</t>
        </is>
      </c>
      <c r="E81" s="3">
        <v>64.68</v>
      </c>
    </row>
    <row r="82">
      <c r="A82" s="4">
        <v>46251</v>
      </c>
      <c r="B82" s="2" t="inlineStr">
        <is>
          <t xml:space="preserve">Lil &amp; Johnssweetre Oak Island</t>
        </is>
      </c>
      <c r="C82" s="2" t="inlineStr">
        <is>
          <t xml:space="preserve">Restaurants &amp; Takeout</t>
        </is>
      </c>
      <c r="D82" s="2" t="inlineStr">
        <is>
          <t xml:space="preserve">Food</t>
        </is>
      </c>
      <c r="E82" s="3">
        <v>28.85</v>
      </c>
    </row>
    <row r="83">
      <c r="A83" s="4">
        <v>46251</v>
      </c>
      <c r="B83" s="2" t="inlineStr">
        <is>
          <t xml:space="preserve">Lowes Food #235 Bolivia NC</t>
        </is>
      </c>
      <c r="C83" s="2" t="inlineStr">
        <is>
          <t xml:space="preserve">Grocery – Lowes Foods</t>
        </is>
      </c>
      <c r="D83" s="2" t="inlineStr">
        <is>
          <t xml:space="preserve">Groceries</t>
        </is>
      </c>
      <c r="E83" s="3">
        <v>6.49</v>
      </c>
    </row>
    <row r="84">
      <c r="A84" s="4">
        <v>46251</v>
      </c>
      <c r="B84" s="2" t="inlineStr">
        <is>
          <t xml:space="preserve">Circlek #2723487 16 Oc Supply</t>
        </is>
      </c>
      <c r="C84" s="2" t="inlineStr">
        <is>
          <t xml:space="preserve">Gas &amp; Convenience Stores</t>
        </is>
      </c>
      <c r="D84" s="2" t="inlineStr">
        <is>
          <t xml:space="preserve">Transportation</t>
        </is>
      </c>
      <c r="E84" s="3">
        <v>47.12</v>
      </c>
    </row>
    <row r="85">
      <c r="A85" s="4">
        <v>46251</v>
      </c>
      <c r="B85" s="2" t="inlineStr">
        <is>
          <t xml:space="preserve">Hobbylobby Southport NC</t>
        </is>
      </c>
      <c r="C85" s="2" t="inlineStr">
        <is>
          <t xml:space="preserve">Retail – Hobby Lobby</t>
        </is>
      </c>
      <c r="D85" s="2" t="inlineStr">
        <is>
          <t xml:space="preserve">Retail</t>
        </is>
      </c>
      <c r="E85" s="3">
        <v>145.01</v>
      </c>
    </row>
    <row r="86">
      <c r="A86" s="4">
        <v>46251</v>
      </c>
      <c r="B86" s="2" t="inlineStr">
        <is>
          <t xml:space="preserve">Circlek #2723140 3498 Little</t>
        </is>
      </c>
      <c r="C86" s="2" t="inlineStr">
        <is>
          <t xml:space="preserve">Gas &amp; Convenience Stores</t>
        </is>
      </c>
      <c r="D86" s="2" t="inlineStr">
        <is>
          <t xml:space="preserve">Transportation</t>
        </is>
      </c>
      <c r="E86" s="3">
        <v>5.78</v>
      </c>
    </row>
    <row r="87">
      <c r="A87" s="4">
        <v>46251</v>
      </c>
      <c r="B87" s="2" t="inlineStr">
        <is>
          <t xml:space="preserve">Lowes Food #235 Bolivia NC</t>
        </is>
      </c>
      <c r="C87" s="2" t="inlineStr">
        <is>
          <t xml:space="preserve">Grocery – Lowes Foods</t>
        </is>
      </c>
      <c r="D87" s="2" t="inlineStr">
        <is>
          <t xml:space="preserve">Groceries</t>
        </is>
      </c>
      <c r="E87" s="3">
        <v>10.99</v>
      </c>
    </row>
    <row r="88">
      <c r="A88" s="4">
        <v>46251</v>
      </c>
      <c r="B88" s="2" t="inlineStr">
        <is>
          <t xml:space="preserve">A&amp;D Mortgage LLC Re Payment</t>
        </is>
      </c>
      <c r="C88" s="2" t="inlineStr">
        <is>
          <t xml:space="preserve">A&amp;D Mortgage</t>
        </is>
      </c>
      <c r="D88" s="2" t="inlineStr">
        <is>
          <t xml:space="preserve">Housing</t>
        </is>
      </c>
      <c r="E88" s="3">
        <v>3411.1</v>
      </c>
    </row>
    <row r="89">
      <c r="A89" s="4">
        <v>46252</v>
      </c>
      <c r="B89" s="2" t="inlineStr">
        <is>
          <t xml:space="preserve">Tst* The Melting P Wilmington</t>
        </is>
      </c>
      <c r="C89" s="2" t="inlineStr">
        <is>
          <t xml:space="preserve">Restaurants &amp; Takeout</t>
        </is>
      </c>
      <c r="D89" s="2" t="inlineStr">
        <is>
          <t xml:space="preserve">Food</t>
        </is>
      </c>
      <c r="E89" s="3">
        <v>204.48</v>
      </c>
    </row>
    <row r="90">
      <c r="A90" s="4">
        <v>46252</v>
      </c>
      <c r="B90" s="2" t="inlineStr">
        <is>
          <t xml:space="preserve">DD/Br #338554 Q35 Little River</t>
        </is>
      </c>
      <c r="C90" s="2" t="inlineStr">
        <is>
          <t xml:space="preserve">Restaurants &amp; Takeout</t>
        </is>
      </c>
      <c r="D90" s="2" t="inlineStr">
        <is>
          <t xml:space="preserve">Food</t>
        </is>
      </c>
      <c r="E90" s="3">
        <v>9.25</v>
      </c>
    </row>
    <row r="91">
      <c r="A91" s="4">
        <v>46252</v>
      </c>
      <c r="B91" s="2" t="inlineStr">
        <is>
          <t xml:space="preserve">Autobks*Nextgen LA</t>
        </is>
      </c>
      <c r="C91" s="2" t="inlineStr">
        <is>
          <t xml:space="preserve">Yard Company (NextGen)</t>
        </is>
      </c>
      <c r="D91" s="2" t="inlineStr">
        <is>
          <t xml:space="preserve">Home</t>
        </is>
      </c>
      <c r="E91" s="3">
        <v>60.0</v>
      </c>
    </row>
    <row r="92">
      <c r="A92" s="4">
        <v>46252</v>
      </c>
      <c r="B92" s="2" t="inlineStr">
        <is>
          <t xml:space="preserve">Tractor Supply # 5049 Sou</t>
        </is>
      </c>
      <c r="C92" s="2" t="inlineStr">
        <is>
          <t xml:space="preserve">Retail – Tractor Supply</t>
        </is>
      </c>
      <c r="D92" s="2" t="inlineStr">
        <is>
          <t xml:space="preserve">Retail</t>
        </is>
      </c>
      <c r="E92" s="3">
        <v>29.86</v>
      </c>
    </row>
    <row r="93">
      <c r="A93" s="4">
        <v>46252</v>
      </c>
      <c r="B93" s="2" t="inlineStr">
        <is>
          <t xml:space="preserve">Lowes Foods #27 Southport NC (purchase incl. $20 cash back)</t>
        </is>
      </c>
      <c r="C93" s="2" t="inlineStr">
        <is>
          <t xml:space="preserve">Grocery – Lowes Foods</t>
        </is>
      </c>
      <c r="D93" s="2" t="inlineStr">
        <is>
          <t xml:space="preserve">Groceries</t>
        </is>
      </c>
      <c r="E93" s="3">
        <v>275.25</v>
      </c>
    </row>
    <row r="94">
      <c r="A94" s="4">
        <v>46252</v>
      </c>
      <c r="B94" s="2" t="inlineStr">
        <is>
          <t xml:space="preserve">+Lincoln Nationa EDI Pymnt</t>
        </is>
      </c>
      <c r="C94" s="2" t="inlineStr">
        <is>
          <t xml:space="preserve">Life Insurance (Lincoln National)</t>
        </is>
      </c>
      <c r="D94" s="2" t="inlineStr">
        <is>
          <t xml:space="preserve">Insurance</t>
        </is>
      </c>
      <c r="E94" s="3">
        <v>73.61</v>
      </c>
    </row>
    <row r="95">
      <c r="A95" s="4">
        <v>46252</v>
      </c>
      <c r="B95" s="2" t="inlineStr">
        <is>
          <t xml:space="preserve">Check #103</t>
        </is>
      </c>
      <c r="C95" s="2" t="inlineStr">
        <is>
          <t xml:space="preserve">Checks Written (payee not shown)</t>
        </is>
      </c>
      <c r="D95" s="2" t="inlineStr">
        <is>
          <t xml:space="preserve">Excluded</t>
        </is>
      </c>
      <c r="E95" s="3">
        <v>200.0</v>
      </c>
    </row>
    <row r="96">
      <c r="A96" s="4">
        <v>46253</v>
      </c>
      <c r="B96" s="2" t="inlineStr">
        <is>
          <t xml:space="preserve">Cvs/Pharmacy #07382</t>
        </is>
      </c>
      <c r="C96" s="2" t="inlineStr">
        <is>
          <t xml:space="preserve">CVS Pharmacy</t>
        </is>
      </c>
      <c r="D96" s="2" t="inlineStr">
        <is>
          <t xml:space="preserve">Health</t>
        </is>
      </c>
      <c r="E96" s="3">
        <v>31.14</v>
      </c>
    </row>
    <row r="97">
      <c r="A97" s="4">
        <v>46253</v>
      </c>
      <c r="B97" s="2" t="inlineStr">
        <is>
          <t xml:space="preserve">American Express ACH Pmt W6914</t>
        </is>
      </c>
      <c r="C97" s="2" t="inlineStr">
        <is>
          <t xml:space="preserve">Credit Card Payoff – American Express</t>
        </is>
      </c>
      <c r="D97" s="2" t="inlineStr">
        <is>
          <t xml:space="preserve">Excluded</t>
        </is>
      </c>
      <c r="E97" s="3">
        <v>663.17</v>
      </c>
    </row>
    <row r="98">
      <c r="A98" s="4">
        <v>46254</v>
      </c>
      <c r="B98" s="2" t="inlineStr">
        <is>
          <t xml:space="preserve">Allstate *Paymn</t>
        </is>
      </c>
      <c r="C98" s="2" t="inlineStr">
        <is>
          <t xml:space="preserve">Allstate Insurance</t>
        </is>
      </c>
      <c r="D98" s="2" t="inlineStr">
        <is>
          <t xml:space="preserve">Insurance</t>
        </is>
      </c>
      <c r="E98" s="3">
        <v>360.42</v>
      </c>
    </row>
    <row r="99">
      <c r="A99" s="4">
        <v>46254</v>
      </c>
      <c r="B99" s="2" t="inlineStr">
        <is>
          <t xml:space="preserve">The Color Bar Hair Oak Island NC</t>
        </is>
      </c>
      <c r="C99" s="2" t="inlineStr">
        <is>
          <t xml:space="preserve">Haircuts – The Color Bar</t>
        </is>
      </c>
      <c r="D99" s="2" t="inlineStr">
        <is>
          <t xml:space="preserve">Personal</t>
        </is>
      </c>
      <c r="E99" s="3">
        <v>150.0</v>
      </c>
    </row>
    <row r="100">
      <c r="A100" s="4">
        <v>46254</v>
      </c>
      <c r="B100" s="2" t="inlineStr">
        <is>
          <t xml:space="preserve">WM Supercenter #2772</t>
        </is>
      </c>
      <c r="C100" s="2" t="inlineStr">
        <is>
          <t xml:space="preserve">Retail – Walmart</t>
        </is>
      </c>
      <c r="D100" s="2" t="inlineStr">
        <is>
          <t xml:space="preserve">Retail</t>
        </is>
      </c>
      <c r="E100" s="3">
        <v>125.16</v>
      </c>
    </row>
    <row r="101">
      <c r="A101" s="4">
        <v>46254</v>
      </c>
      <c r="B101" s="2" t="inlineStr">
        <is>
          <t xml:space="preserve">St James 7134 Pap</t>
        </is>
      </c>
      <c r="C101" s="2" t="inlineStr">
        <is>
          <t xml:space="preserve">St. James Membership (Club)</t>
        </is>
      </c>
      <c r="D101" s="2" t="inlineStr">
        <is>
          <t xml:space="preserve">Housing</t>
        </is>
      </c>
      <c r="E101" s="3">
        <v>1492.11</v>
      </c>
    </row>
    <row r="102">
      <c r="A102" s="4">
        <v>46255</v>
      </c>
      <c r="B102" s="2" t="inlineStr">
        <is>
          <t xml:space="preserve">Starbucks Store 71 Southport</t>
        </is>
      </c>
      <c r="C102" s="2" t="inlineStr">
        <is>
          <t xml:space="preserve">Restaurants &amp; Takeout</t>
        </is>
      </c>
      <c r="D102" s="2" t="inlineStr">
        <is>
          <t xml:space="preserve">Food</t>
        </is>
      </c>
      <c r="E102" s="3">
        <v>5.0</v>
      </c>
    </row>
    <row r="103">
      <c r="A103" s="4">
        <v>46255</v>
      </c>
      <c r="B103" s="2" t="inlineStr">
        <is>
          <t xml:space="preserve">Tst*Koko Cabana - Oak Island NC</t>
        </is>
      </c>
      <c r="C103" s="2" t="inlineStr">
        <is>
          <t xml:space="preserve">Restaurants &amp; Takeout</t>
        </is>
      </c>
      <c r="D103" s="2" t="inlineStr">
        <is>
          <t xml:space="preserve">Food</t>
        </is>
      </c>
      <c r="E103" s="3">
        <v>64.37</v>
      </c>
    </row>
    <row r="104">
      <c r="A104" s="4">
        <v>46255</v>
      </c>
      <c r="B104" s="2" t="inlineStr">
        <is>
          <t xml:space="preserve">Lowes Food #235 Bolivia NC</t>
        </is>
      </c>
      <c r="C104" s="2" t="inlineStr">
        <is>
          <t xml:space="preserve">Grocery – Lowes Foods</t>
        </is>
      </c>
      <c r="D104" s="2" t="inlineStr">
        <is>
          <t xml:space="preserve">Groceries</t>
        </is>
      </c>
      <c r="E104" s="3">
        <v>29.54</v>
      </c>
    </row>
    <row r="105">
      <c r="A105" s="4">
        <v>46255</v>
      </c>
      <c r="B105" s="2" t="inlineStr">
        <is>
          <t xml:space="preserve">Lowes Food #235 Bolivia NC</t>
        </is>
      </c>
      <c r="C105" s="2" t="inlineStr">
        <is>
          <t xml:space="preserve">Grocery – Lowes Foods</t>
        </is>
      </c>
      <c r="D105" s="2" t="inlineStr">
        <is>
          <t xml:space="preserve">Groceries</t>
        </is>
      </c>
      <c r="E105" s="3">
        <v>36.77</v>
      </c>
    </row>
    <row r="106">
      <c r="A106" s="4">
        <v>46255</v>
      </c>
      <c r="B106" s="2" t="inlineStr">
        <is>
          <t xml:space="preserve">Verizon Wireless Payments</t>
        </is>
      </c>
      <c r="C106" s="2" t="inlineStr">
        <is>
          <t xml:space="preserve">Verizon Wireless</t>
        </is>
      </c>
      <c r="D106" s="2" t="inlineStr">
        <is>
          <t xml:space="preserve">Phone &amp; Internet</t>
        </is>
      </c>
      <c r="E106" s="3">
        <v>436.02</v>
      </c>
    </row>
    <row r="107">
      <c r="A107" s="4">
        <v>46258</v>
      </c>
      <c r="B107" s="2" t="inlineStr">
        <is>
          <t xml:space="preserve">First Watch - 6045 Wilmington</t>
        </is>
      </c>
      <c r="C107" s="2" t="inlineStr">
        <is>
          <t xml:space="preserve">Restaurants &amp; Takeout</t>
        </is>
      </c>
      <c r="D107" s="2" t="inlineStr">
        <is>
          <t xml:space="preserve">Food</t>
        </is>
      </c>
      <c r="E107" s="3">
        <v>21.94</v>
      </c>
    </row>
    <row r="108">
      <c r="A108" s="4">
        <v>46258</v>
      </c>
      <c r="B108" s="2" t="inlineStr">
        <is>
          <t xml:space="preserve">Dillards 156 Westfield</t>
        </is>
      </c>
      <c r="C108" s="2" t="inlineStr">
        <is>
          <t xml:space="preserve">Retail – Dillard's</t>
        </is>
      </c>
      <c r="D108" s="2" t="inlineStr">
        <is>
          <t xml:space="preserve">Retail</t>
        </is>
      </c>
      <c r="E108" s="3">
        <v>54.3</v>
      </c>
    </row>
    <row r="109">
      <c r="A109" s="4">
        <v>46258</v>
      </c>
      <c r="B109" s="2" t="inlineStr">
        <is>
          <t xml:space="preserve">Lowes Foods #27 Southport NC</t>
        </is>
      </c>
      <c r="C109" s="2" t="inlineStr">
        <is>
          <t xml:space="preserve">Grocery – Lowes Foods</t>
        </is>
      </c>
      <c r="D109" s="2" t="inlineStr">
        <is>
          <t xml:space="preserve">Groceries</t>
        </is>
      </c>
      <c r="E109" s="3">
        <v>101.24</v>
      </c>
    </row>
    <row r="110">
      <c r="A110" s="4">
        <v>46259</v>
      </c>
      <c r="B110" s="2" t="inlineStr">
        <is>
          <t xml:space="preserve">Apple.Com/Bill</t>
        </is>
      </c>
      <c r="C110" s="2" t="inlineStr">
        <is>
          <t xml:space="preserve">Software &amp; Online Subscriptions</t>
        </is>
      </c>
      <c r="D110" s="2" t="inlineStr">
        <is>
          <t xml:space="preserve">Subscriptions</t>
        </is>
      </c>
      <c r="E110" s="3">
        <v>2.99</v>
      </c>
    </row>
    <row r="111">
      <c r="A111" s="8"/>
      <c r="B111" s="8"/>
      <c r="C111" s="8"/>
      <c r="D111" s="8" t="inlineStr">
        <is>
          <t xml:space="preserve">Total spending</t>
        </is>
      </c>
      <c r="E111" s="9">
        <f>SUMIF(D4:D110,"&lt;&gt;Excluded",E4:E110)</f>
        <v>14654.04</v>
      </c>
    </row>
    <row r="112">
      <c r="D112" s="7" t="inlineStr">
        <is>
          <t xml:space="preserve">Not counted (Excluded)</t>
        </is>
      </c>
      <c r="E112" s="6">
        <f>SUMIF(D4:D110,"Excluded",E4:E110)</f>
        <v>8329.68</v>
      </c>
    </row>
  </sheetData>
  <autoFilter ref="A3:E110"/>
  <pageMargins left="0.5" right="0.5" top="0.6" bottom="0.6" header="0.3" footer="0.3"/>
  <pageSetup orientation="landscape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3" topLeftCell="A4" activePane="bottomLeft" state="frozen"/>
    </sheetView>
  </sheetViews>
  <sheetFormatPr defaultRowHeight="15"/>
  <cols>
    <col min="1" max="1" width="11" customWidth="1"/>
    <col min="2" max="2" width="50" customWidth="1"/>
    <col min="3" max="3" width="38" customWidth="1"/>
    <col min="4" max="4" width="16" customWidth="1"/>
    <col min="5" max="5" width="13" customWidth="1"/>
    <col min="6" max="6" width="3" customWidth="1"/>
    <col min="7" max="7" width="40" customWidth="1"/>
    <col min="8" max="8" width="14" customWidth="1"/>
  </cols>
  <sheetData>
    <row r="1">
      <c r="A1" s="10" t="inlineStr">
        <is>
          <t xml:space="preserve">September 2026 Spending — statement period 8/26–9/24/26</t>
        </is>
      </c>
    </row>
    <row r="3">
      <c r="A3" s="1" t="inlineStr">
        <is>
          <t xml:space="preserve">Date</t>
        </is>
      </c>
      <c r="B3" s="15" t="inlineStr">
        <is>
          <t xml:space="preserve">Description</t>
        </is>
      </c>
      <c r="C3" s="1" t="inlineStr">
        <is>
          <t xml:space="preserve">Category</t>
        </is>
      </c>
      <c r="D3" s="1" t="inlineStr">
        <is>
          <t xml:space="preserve">Group</t>
        </is>
      </c>
      <c r="E3" s="1" t="inlineStr">
        <is>
          <t xml:space="preserve">Amount</t>
        </is>
      </c>
      <c r="G3" s="15" t="inlineStr">
        <is>
          <t xml:space="preserve">Category subtotals (this month)</t>
        </is>
      </c>
      <c r="H3" s="1" t="inlineStr">
        <is>
          <t xml:space="preserve">Amount</t>
        </is>
      </c>
    </row>
    <row r="4">
      <c r="A4" s="4">
        <v>46262</v>
      </c>
      <c r="B4" s="2" t="inlineStr">
        <is>
          <t xml:space="preserve">Tst*Cafe Koa - Oak Southport NC</t>
        </is>
      </c>
      <c r="C4" s="2" t="inlineStr">
        <is>
          <t xml:space="preserve">Restaurants &amp; Takeout</t>
        </is>
      </c>
      <c r="D4" s="2" t="inlineStr">
        <is>
          <t xml:space="preserve">Food</t>
        </is>
      </c>
      <c r="E4" s="3">
        <v>25.81</v>
      </c>
      <c r="G4" s="2" t="inlineStr">
        <is>
          <t xml:space="preserve">A&amp;D Mortgage</t>
        </is>
      </c>
      <c r="H4" s="3">
        <f>SUMIF($C$4:$C$88,G4,$E$4:$E$88)</f>
        <v>3411.1</v>
      </c>
    </row>
    <row r="5">
      <c r="A5" s="4">
        <v>46262</v>
      </c>
      <c r="B5" s="2" t="inlineStr">
        <is>
          <t xml:space="preserve">Cat on A Whisk 9104719377 NC</t>
        </is>
      </c>
      <c r="C5" s="2" t="inlineStr">
        <is>
          <t xml:space="preserve">Retail – Cat on a Whisk</t>
        </is>
      </c>
      <c r="D5" s="2" t="inlineStr">
        <is>
          <t xml:space="preserve">Retail</t>
        </is>
      </c>
      <c r="E5" s="3">
        <v>24.51</v>
      </c>
      <c r="G5" s="2" t="inlineStr">
        <is>
          <t xml:space="preserve">St. James Membership (Club)</t>
        </is>
      </c>
      <c r="H5" s="3">
        <f>SUMIF($C$4:$C$88,G5,$E$4:$E$88)</f>
        <v>1767.0</v>
      </c>
    </row>
    <row r="6">
      <c r="A6" s="4">
        <v>46262</v>
      </c>
      <c r="B6" s="2" t="inlineStr">
        <is>
          <t xml:space="preserve">Lil &amp; Johnssweetre Oak Island</t>
        </is>
      </c>
      <c r="C6" s="2" t="inlineStr">
        <is>
          <t xml:space="preserve">Restaurants &amp; Takeout</t>
        </is>
      </c>
      <c r="D6" s="2" t="inlineStr">
        <is>
          <t xml:space="preserve">Food</t>
        </is>
      </c>
      <c r="E6" s="3">
        <v>18.35</v>
      </c>
      <c r="G6" s="2" t="inlineStr">
        <is>
          <t xml:space="preserve">Restaurants &amp; Takeout</t>
        </is>
      </c>
      <c r="H6" s="3">
        <f>SUMIF($C$4:$C$88,G6,$E$4:$E$88)</f>
        <v>839.3</v>
      </c>
    </row>
    <row r="7">
      <c r="A7" s="4">
        <v>46265</v>
      </c>
      <c r="B7" s="2" t="inlineStr">
        <is>
          <t xml:space="preserve">Wilmington Eye 910-7633601</t>
        </is>
      </c>
      <c r="C7" s="2" t="inlineStr">
        <is>
          <t xml:space="preserve">Medical – Wilmington Eye</t>
        </is>
      </c>
      <c r="D7" s="2" t="inlineStr">
        <is>
          <t xml:space="preserve">Health</t>
        </is>
      </c>
      <c r="E7" s="3">
        <v>60.0</v>
      </c>
      <c r="G7" s="2" t="inlineStr">
        <is>
          <t xml:space="preserve">Banner Life Insurance</t>
        </is>
      </c>
      <c r="H7" s="3">
        <f>SUMIF($C$4:$C$88,G7,$E$4:$E$88)</f>
        <v>710.06</v>
      </c>
    </row>
    <row r="8">
      <c r="A8" s="4">
        <v>46265</v>
      </c>
      <c r="B8" s="2" t="inlineStr">
        <is>
          <t xml:space="preserve">McDonald's F7702 Southport NC</t>
        </is>
      </c>
      <c r="C8" s="2" t="inlineStr">
        <is>
          <t xml:space="preserve">Restaurants &amp; Takeout</t>
        </is>
      </c>
      <c r="D8" s="2" t="inlineStr">
        <is>
          <t xml:space="preserve">Food</t>
        </is>
      </c>
      <c r="E8" s="3">
        <v>9.49</v>
      </c>
      <c r="G8" s="2" t="inlineStr">
        <is>
          <t xml:space="preserve">Grocery – Publix</t>
        </is>
      </c>
      <c r="H8" s="3">
        <f>SUMIF($C$4:$C$88,G8,$E$4:$E$88)</f>
        <v>630.65</v>
      </c>
    </row>
    <row r="9">
      <c r="A9" s="4">
        <v>46265</v>
      </c>
      <c r="B9" s="2" t="inlineStr">
        <is>
          <t xml:space="preserve">Google Youtubetv</t>
        </is>
      </c>
      <c r="C9" s="2" t="inlineStr">
        <is>
          <t xml:space="preserve">Streaming – YouTube TV (Google)</t>
        </is>
      </c>
      <c r="D9" s="2" t="inlineStr">
        <is>
          <t xml:space="preserve">Streaming</t>
        </is>
      </c>
      <c r="E9" s="3">
        <v>89.0</v>
      </c>
      <c r="G9" s="2" t="inlineStr">
        <is>
          <t xml:space="preserve">Grocery – Lowes Foods</t>
        </is>
      </c>
      <c r="H9" s="3">
        <f>SUMIF($C$4:$C$88,G9,$E$4:$E$88)</f>
        <v>571.85</v>
      </c>
    </row>
    <row r="10">
      <c r="A10" s="4">
        <v>46265</v>
      </c>
      <c r="B10" s="2" t="inlineStr">
        <is>
          <t xml:space="preserve">Roku for Disney El</t>
        </is>
      </c>
      <c r="C10" s="2" t="inlineStr">
        <is>
          <t xml:space="preserve">Streaming – Disney (via Roku)</t>
        </is>
      </c>
      <c r="D10" s="2" t="inlineStr">
        <is>
          <t xml:space="preserve">Streaming</t>
        </is>
      </c>
      <c r="E10" s="3">
        <v>20.27</v>
      </c>
      <c r="G10" s="2" t="inlineStr">
        <is>
          <t xml:space="preserve">Utility – Electric (BEMC)</t>
        </is>
      </c>
      <c r="H10" s="3">
        <f>SUMIF($C$4:$C$88,G10,$E$4:$E$88)</f>
        <v>419.66</v>
      </c>
    </row>
    <row r="11">
      <c r="A11" s="4">
        <v>46265</v>
      </c>
      <c r="B11" s="2" t="inlineStr">
        <is>
          <t xml:space="preserve">Wal-Mart #2772 Southport NC</t>
        </is>
      </c>
      <c r="C11" s="2" t="inlineStr">
        <is>
          <t xml:space="preserve">Retail – Walmart</t>
        </is>
      </c>
      <c r="D11" s="2" t="inlineStr">
        <is>
          <t xml:space="preserve">Retail</t>
        </is>
      </c>
      <c r="E11" s="3">
        <v>32.63</v>
      </c>
      <c r="G11" s="2" t="inlineStr">
        <is>
          <t xml:space="preserve">Verizon Wireless</t>
        </is>
      </c>
      <c r="H11" s="3">
        <f>SUMIF($C$4:$C$88,G11,$E$4:$E$88)</f>
        <v>386.85</v>
      </c>
    </row>
    <row r="12">
      <c r="A12" s="4">
        <v>46265</v>
      </c>
      <c r="B12" s="2" t="inlineStr">
        <is>
          <t xml:space="preserve">Burney's Bakery of Southport NC</t>
        </is>
      </c>
      <c r="C12" s="2" t="inlineStr">
        <is>
          <t xml:space="preserve">Restaurants &amp; Takeout</t>
        </is>
      </c>
      <c r="D12" s="2" t="inlineStr">
        <is>
          <t xml:space="preserve">Food</t>
        </is>
      </c>
      <c r="E12" s="3">
        <v>15.17</v>
      </c>
      <c r="G12" s="2" t="inlineStr">
        <is>
          <t xml:space="preserve">Allstate Insurance</t>
        </is>
      </c>
      <c r="H12" s="3">
        <f>SUMIF($C$4:$C$88,G12,$E$4:$E$88)</f>
        <v>354.17</v>
      </c>
    </row>
    <row r="13">
      <c r="A13" s="4">
        <v>46265</v>
      </c>
      <c r="B13" s="2" t="inlineStr">
        <is>
          <t xml:space="preserve">Lowes Foods #27 Southport NC</t>
        </is>
      </c>
      <c r="C13" s="2" t="inlineStr">
        <is>
          <t xml:space="preserve">Grocery – Lowes Foods</t>
        </is>
      </c>
      <c r="D13" s="2" t="inlineStr">
        <is>
          <t xml:space="preserve">Groceries</t>
        </is>
      </c>
      <c r="E13" s="3">
        <v>5.28</v>
      </c>
      <c r="G13" s="2" t="inlineStr">
        <is>
          <t xml:space="preserve">Gas &amp; Convenience Stores</t>
        </is>
      </c>
      <c r="H13" s="3">
        <f>SUMIF($C$4:$C$88,G13,$E$4:$E$88)</f>
        <v>238.98</v>
      </c>
    </row>
    <row r="14">
      <c r="A14" s="4">
        <v>46265</v>
      </c>
      <c r="B14" s="2" t="inlineStr">
        <is>
          <t xml:space="preserve">365 Market H 888 4 Troy MI</t>
        </is>
      </c>
      <c r="C14" s="2" t="inlineStr">
        <is>
          <t xml:space="preserve">Restaurants &amp; Takeout</t>
        </is>
      </c>
      <c r="D14" s="2" t="inlineStr">
        <is>
          <t xml:space="preserve">Food</t>
        </is>
      </c>
      <c r="E14" s="3">
        <v>8.27</v>
      </c>
      <c r="G14" s="2" t="inlineStr">
        <is>
          <t xml:space="preserve">Health Insurance – Blue Cross NC</t>
        </is>
      </c>
      <c r="H14" s="3">
        <f>SUMIF($C$4:$C$88,G14,$E$4:$E$88)</f>
        <v>216.25</v>
      </c>
    </row>
    <row r="15">
      <c r="A15" s="4">
        <v>46265</v>
      </c>
      <c r="B15" s="2" t="inlineStr">
        <is>
          <t xml:space="preserve">DD *Doordash Seasi</t>
        </is>
      </c>
      <c r="C15" s="2" t="inlineStr">
        <is>
          <t xml:space="preserve">Restaurants &amp; Takeout</t>
        </is>
      </c>
      <c r="D15" s="2" t="inlineStr">
        <is>
          <t xml:space="preserve">Food</t>
        </is>
      </c>
      <c r="E15" s="3">
        <v>49.01</v>
      </c>
      <c r="G15" s="2" t="inlineStr">
        <is>
          <t xml:space="preserve">Donations &amp; Clubs (Kiwanis)</t>
        </is>
      </c>
      <c r="H15" s="3">
        <f>SUMIF($C$4:$C$88,G15,$E$4:$E$88)</f>
        <v>200.0</v>
      </c>
    </row>
    <row r="16">
      <c r="A16" s="4">
        <v>46265</v>
      </c>
      <c r="B16" s="2" t="inlineStr">
        <is>
          <t xml:space="preserve">Publix #1703 Oak Island NC</t>
        </is>
      </c>
      <c r="C16" s="2" t="inlineStr">
        <is>
          <t xml:space="preserve">Grocery – Publix</t>
        </is>
      </c>
      <c r="D16" s="2" t="inlineStr">
        <is>
          <t xml:space="preserve">Groceries</t>
        </is>
      </c>
      <c r="E16" s="3">
        <v>98.73</v>
      </c>
      <c r="G16" s="2" t="inlineStr">
        <is>
          <t xml:space="preserve">Student Loan (Dept of Education)</t>
        </is>
      </c>
      <c r="H16" s="3">
        <f>SUMIF($C$4:$C$88,G16,$E$4:$E$88)</f>
        <v>160.37</v>
      </c>
    </row>
    <row r="17">
      <c r="A17" s="4">
        <v>46266</v>
      </c>
      <c r="B17" s="2" t="inlineStr">
        <is>
          <t xml:space="preserve">Autobks*Nextgen LA</t>
        </is>
      </c>
      <c r="C17" s="2" t="inlineStr">
        <is>
          <t xml:space="preserve">Yard Company (NextGen)</t>
        </is>
      </c>
      <c r="D17" s="2" t="inlineStr">
        <is>
          <t xml:space="preserve">Home</t>
        </is>
      </c>
      <c r="E17" s="3">
        <v>60.0</v>
      </c>
      <c r="G17" s="2" t="inlineStr">
        <is>
          <t xml:space="preserve">Cash (ATM) &amp; Bank Fees</t>
        </is>
      </c>
      <c r="H17" s="3">
        <f>SUMIF($C$4:$C$88,G17,$E$4:$E$88)</f>
        <v>147.0</v>
      </c>
    </row>
    <row r="18">
      <c r="A18" s="4">
        <v>46266</v>
      </c>
      <c r="B18" s="2" t="inlineStr">
        <is>
          <t xml:space="preserve">Lowe's Foods #1 Oak Island NC</t>
        </is>
      </c>
      <c r="C18" s="2" t="inlineStr">
        <is>
          <t xml:space="preserve">Grocery – Lowes Foods</t>
        </is>
      </c>
      <c r="D18" s="2" t="inlineStr">
        <is>
          <t xml:space="preserve">Groceries</t>
        </is>
      </c>
      <c r="E18" s="3">
        <v>53.9</v>
      </c>
      <c r="G18" s="2" t="inlineStr">
        <is>
          <t xml:space="preserve">Streaming – YouTube TV (Google)</t>
        </is>
      </c>
      <c r="H18" s="3">
        <f>SUMIF($C$4:$C$88,G18,$E$4:$E$88)</f>
        <v>132.43</v>
      </c>
    </row>
    <row r="19">
      <c r="A19" s="4">
        <v>46266</v>
      </c>
      <c r="B19" s="2" t="inlineStr">
        <is>
          <t xml:space="preserve">Lowes Food #235 Bolivia NC</t>
        </is>
      </c>
      <c r="C19" s="2" t="inlineStr">
        <is>
          <t xml:space="preserve">Grocery – Lowes Foods</t>
        </is>
      </c>
      <c r="D19" s="2" t="inlineStr">
        <is>
          <t xml:space="preserve">Groceries</t>
        </is>
      </c>
      <c r="E19" s="3">
        <v>174.04</v>
      </c>
      <c r="G19" s="2" t="inlineStr">
        <is>
          <t xml:space="preserve">Transfers to People (Venmo/Zelle)</t>
        </is>
      </c>
      <c r="H19" s="3">
        <f>SUMIF($C$4:$C$88,G19,$E$4:$E$88)</f>
        <v>130.0</v>
      </c>
    </row>
    <row r="20">
      <c r="A20" s="4">
        <v>46266</v>
      </c>
      <c r="B20" s="2" t="inlineStr">
        <is>
          <t xml:space="preserve">7-11 #42386 Myrtle Beach SC</t>
        </is>
      </c>
      <c r="C20" s="2" t="inlineStr">
        <is>
          <t xml:space="preserve">Gas &amp; Convenience Stores</t>
        </is>
      </c>
      <c r="D20" s="2" t="inlineStr">
        <is>
          <t xml:space="preserve">Transportation</t>
        </is>
      </c>
      <c r="E20" s="3">
        <v>46.8</v>
      </c>
      <c r="G20" s="2" t="inlineStr">
        <is>
          <t xml:space="preserve">Yard Company (NextGen)</t>
        </is>
      </c>
      <c r="H20" s="3">
        <f>SUMIF($C$4:$C$88,G20,$E$4:$E$88)</f>
        <v>120.0</v>
      </c>
    </row>
    <row r="21">
      <c r="A21" s="4">
        <v>46267</v>
      </c>
      <c r="B21" s="2" t="inlineStr">
        <is>
          <t xml:space="preserve">McDonald's F35966 Supply NC</t>
        </is>
      </c>
      <c r="C21" s="2" t="inlineStr">
        <is>
          <t xml:space="preserve">Restaurants &amp; Takeout</t>
        </is>
      </c>
      <c r="D21" s="2" t="inlineStr">
        <is>
          <t xml:space="preserve">Food</t>
        </is>
      </c>
      <c r="E21" s="3">
        <v>8.53</v>
      </c>
      <c r="G21" s="2" t="inlineStr">
        <is>
          <t xml:space="preserve">Retail – Local shops (Hippie Chick, Southport Spices, Mad River, Coastal Carolina)</t>
        </is>
      </c>
      <c r="H21" s="3">
        <f>SUMIF($C$4:$C$88,G21,$E$4:$E$88)</f>
        <v>119.97</v>
      </c>
    </row>
    <row r="22">
      <c r="A22" s="4">
        <v>46267</v>
      </c>
      <c r="B22" s="2" t="inlineStr">
        <is>
          <t xml:space="preserve">Circlek #2723140 3498 Little</t>
        </is>
      </c>
      <c r="C22" s="2" t="inlineStr">
        <is>
          <t xml:space="preserve">Gas &amp; Convenience Stores</t>
        </is>
      </c>
      <c r="D22" s="2" t="inlineStr">
        <is>
          <t xml:space="preserve">Transportation</t>
        </is>
      </c>
      <c r="E22" s="3">
        <v>3.99</v>
      </c>
      <c r="G22" s="2" t="inlineStr">
        <is>
          <t xml:space="preserve">Medical – Dosher Hospital (Southport)</t>
        </is>
      </c>
      <c r="H22" s="3">
        <f>SUMIF($C$4:$C$88,G22,$E$4:$E$88)</f>
        <v>100.28</v>
      </c>
    </row>
    <row r="23">
      <c r="A23" s="4">
        <v>46268</v>
      </c>
      <c r="B23" s="2" t="inlineStr">
        <is>
          <t xml:space="preserve">7-Eleven 42386 Myrtle Beach SC</t>
        </is>
      </c>
      <c r="C23" s="2" t="inlineStr">
        <is>
          <t xml:space="preserve">Gas &amp; Convenience Stores</t>
        </is>
      </c>
      <c r="D23" s="2" t="inlineStr">
        <is>
          <t xml:space="preserve">Transportation</t>
        </is>
      </c>
      <c r="E23" s="3">
        <v>12.37</v>
      </c>
      <c r="G23" s="2" t="inlineStr">
        <is>
          <t xml:space="preserve">Retail – Lowe's (home improvement)</t>
        </is>
      </c>
      <c r="H23" s="3">
        <f>SUMIF($C$4:$C$88,G23,$E$4:$E$88)</f>
        <v>85.27</v>
      </c>
    </row>
    <row r="24">
      <c r="A24" s="4">
        <v>46268</v>
      </c>
      <c r="B24" s="2" t="inlineStr">
        <is>
          <t xml:space="preserve">Tst* The Grumpy MO Myrtle</t>
        </is>
      </c>
      <c r="C24" s="2" t="inlineStr">
        <is>
          <t xml:space="preserve">Restaurants &amp; Takeout</t>
        </is>
      </c>
      <c r="D24" s="2" t="inlineStr">
        <is>
          <t xml:space="preserve">Food</t>
        </is>
      </c>
      <c r="E24" s="3">
        <v>33.16</v>
      </c>
      <c r="G24" s="2" t="inlineStr">
        <is>
          <t xml:space="preserve">Utility – Water/Sewer (Brunswick County)</t>
        </is>
      </c>
      <c r="H24" s="3">
        <f>SUMIF($C$4:$C$88,G24,$E$4:$E$88)</f>
        <v>84.26</v>
      </c>
    </row>
    <row r="25">
      <c r="A25" s="4">
        <v>46268</v>
      </c>
      <c r="B25" s="2" t="inlineStr">
        <is>
          <t xml:space="preserve">Sq *Simple Beauty Southport NC</t>
        </is>
      </c>
      <c r="C25" s="2" t="inlineStr">
        <is>
          <t xml:space="preserve">Personal Care – Simple Beauty</t>
        </is>
      </c>
      <c r="D25" s="2" t="inlineStr">
        <is>
          <t xml:space="preserve">Personal</t>
        </is>
      </c>
      <c r="E25" s="3">
        <v>82.0</v>
      </c>
      <c r="G25" s="2" t="inlineStr">
        <is>
          <t xml:space="preserve">Personal Care – Simple Beauty</t>
        </is>
      </c>
      <c r="H25" s="3">
        <f>SUMIF($C$4:$C$88,G25,$E$4:$E$88)</f>
        <v>82.0</v>
      </c>
    </row>
    <row r="26">
      <c r="A26" s="4">
        <v>46268</v>
      </c>
      <c r="B26" s="2" t="inlineStr">
        <is>
          <t xml:space="preserve">Tst*Little Pigs Bb Myrtle Beach</t>
        </is>
      </c>
      <c r="C26" s="2" t="inlineStr">
        <is>
          <t xml:space="preserve">Restaurants &amp; Takeout</t>
        </is>
      </c>
      <c r="D26" s="2" t="inlineStr">
        <is>
          <t xml:space="preserve">Food</t>
        </is>
      </c>
      <c r="E26" s="3">
        <v>15.47</v>
      </c>
      <c r="G26" s="2" t="inlineStr">
        <is>
          <t xml:space="preserve">Internet – Focus Broadband</t>
        </is>
      </c>
      <c r="H26" s="3">
        <f>SUMIF($C$4:$C$88,G26,$E$4:$E$88)</f>
        <v>80.79</v>
      </c>
    </row>
    <row r="27">
      <c r="A27" s="4">
        <v>46268</v>
      </c>
      <c r="B27" s="2" t="inlineStr">
        <is>
          <t xml:space="preserve">Lowes Foods #27 Southport NC</t>
        </is>
      </c>
      <c r="C27" s="2" t="inlineStr">
        <is>
          <t xml:space="preserve">Grocery – Lowes Foods</t>
        </is>
      </c>
      <c r="D27" s="2" t="inlineStr">
        <is>
          <t xml:space="preserve">Groceries</t>
        </is>
      </c>
      <c r="E27" s="3">
        <v>28.23</v>
      </c>
      <c r="G27" s="2" t="inlineStr">
        <is>
          <t xml:space="preserve">Life Insurance (Lincoln National)</t>
        </is>
      </c>
      <c r="H27" s="3">
        <f>SUMIF($C$4:$C$88,G27,$E$4:$E$88)</f>
        <v>73.61</v>
      </c>
    </row>
    <row r="28">
      <c r="A28" s="4">
        <v>46269</v>
      </c>
      <c r="B28" s="2" t="inlineStr">
        <is>
          <t xml:space="preserve">The Color Bar Hair Southport NC</t>
        </is>
      </c>
      <c r="C28" s="2" t="inlineStr">
        <is>
          <t xml:space="preserve">Haircuts – The Color Bar</t>
        </is>
      </c>
      <c r="D28" s="2" t="inlineStr">
        <is>
          <t xml:space="preserve">Personal</t>
        </is>
      </c>
      <c r="E28" s="3">
        <v>32.5</v>
      </c>
      <c r="G28" s="2" t="inlineStr">
        <is>
          <t xml:space="preserve">Dental Insurance – Delta Dental</t>
        </is>
      </c>
      <c r="H28" s="3">
        <f>SUMIF($C$4:$C$88,G28,$E$4:$E$88)</f>
        <v>69.36</v>
      </c>
    </row>
    <row r="29">
      <c r="A29" s="4">
        <v>46269</v>
      </c>
      <c r="B29" s="2" t="inlineStr">
        <is>
          <t xml:space="preserve">McDonald's F7702 Southport NC</t>
        </is>
      </c>
      <c r="C29" s="2" t="inlineStr">
        <is>
          <t xml:space="preserve">Restaurants &amp; Takeout</t>
        </is>
      </c>
      <c r="D29" s="2" t="inlineStr">
        <is>
          <t xml:space="preserve">Food</t>
        </is>
      </c>
      <c r="E29" s="3">
        <v>9.15</v>
      </c>
      <c r="G29" s="2" t="inlineStr">
        <is>
          <t xml:space="preserve">Tolls &amp; Parking</t>
        </is>
      </c>
      <c r="H29" s="3">
        <f>SUMIF($C$4:$C$88,G29,$E$4:$E$88)</f>
        <v>68.24</v>
      </c>
    </row>
    <row r="30">
      <c r="A30" s="4">
        <v>46273</v>
      </c>
      <c r="B30" s="2" t="inlineStr">
        <is>
          <t xml:space="preserve">Frndlytv Inc*+ 1Ad</t>
        </is>
      </c>
      <c r="C30" s="2" t="inlineStr">
        <is>
          <t xml:space="preserve">Streaming – Frndly TV</t>
        </is>
      </c>
      <c r="D30" s="2" t="inlineStr">
        <is>
          <t xml:space="preserve">Streaming</t>
        </is>
      </c>
      <c r="E30" s="3">
        <v>22.41</v>
      </c>
      <c r="G30" s="2" t="inlineStr">
        <is>
          <t xml:space="preserve">Medical – Wilmington Eye</t>
        </is>
      </c>
      <c r="H30" s="3">
        <f>SUMIF($C$4:$C$88,G30,$E$4:$E$88)</f>
        <v>60.0</v>
      </c>
    </row>
    <row r="31">
      <c r="A31" s="4">
        <v>46273</v>
      </c>
      <c r="B31" s="2" t="inlineStr">
        <is>
          <t xml:space="preserve">Southport Spices Southport NC</t>
        </is>
      </c>
      <c r="C31" s="2" t="inlineStr">
        <is>
          <t xml:space="preserve">Retail – Local shops (Hippie Chick, Southport Spices, Mad River, Coastal Carolina)</t>
        </is>
      </c>
      <c r="D31" s="2" t="inlineStr">
        <is>
          <t xml:space="preserve">Retail</t>
        </is>
      </c>
      <c r="E31" s="3">
        <v>59.99</v>
      </c>
      <c r="G31" s="2" t="inlineStr">
        <is>
          <t xml:space="preserve">Retail – Marshalls</t>
        </is>
      </c>
      <c r="H31" s="3">
        <f>SUMIF($C$4:$C$88,G31,$E$4:$E$88)</f>
        <v>41.59</v>
      </c>
    </row>
    <row r="32">
      <c r="A32" s="4">
        <v>46273</v>
      </c>
      <c r="B32" s="2" t="inlineStr">
        <is>
          <t xml:space="preserve">Sp Hippie Chick Gr</t>
        </is>
      </c>
      <c r="C32" s="2" t="inlineStr">
        <is>
          <t xml:space="preserve">Retail – Local shops (Hippie Chick, Southport Spices, Mad River, Coastal Carolina)</t>
        </is>
      </c>
      <c r="D32" s="2" t="inlineStr">
        <is>
          <t xml:space="preserve">Retail</t>
        </is>
      </c>
      <c r="E32" s="3">
        <v>36.99</v>
      </c>
      <c r="G32" s="2" t="inlineStr">
        <is>
          <t xml:space="preserve">Retail – Hobby Lobby</t>
        </is>
      </c>
      <c r="H32" s="3">
        <f>SUMIF($C$4:$C$88,G32,$E$4:$E$88)</f>
        <v>37.33</v>
      </c>
    </row>
    <row r="33">
      <c r="A33" s="4">
        <v>46273</v>
      </c>
      <c r="B33" s="2" t="inlineStr">
        <is>
          <t xml:space="preserve">Fishy Fishy Cafe Southport NC</t>
        </is>
      </c>
      <c r="C33" s="2" t="inlineStr">
        <is>
          <t xml:space="preserve">Restaurants &amp; Takeout</t>
        </is>
      </c>
      <c r="D33" s="2" t="inlineStr">
        <is>
          <t xml:space="preserve">Food</t>
        </is>
      </c>
      <c r="E33" s="3">
        <v>129.69</v>
      </c>
      <c r="G33" s="2" t="inlineStr">
        <is>
          <t xml:space="preserve">Retail – Walmart</t>
        </is>
      </c>
      <c r="H33" s="3">
        <f>SUMIF($C$4:$C$88,G33,$E$4:$E$88)</f>
        <v>32.63</v>
      </c>
    </row>
    <row r="34">
      <c r="A34" s="4">
        <v>46273</v>
      </c>
      <c r="B34" s="2" t="inlineStr">
        <is>
          <t xml:space="preserve">Publix #1703 Oak Island NC</t>
        </is>
      </c>
      <c r="C34" s="2" t="inlineStr">
        <is>
          <t xml:space="preserve">Grocery – Publix</t>
        </is>
      </c>
      <c r="D34" s="2" t="inlineStr">
        <is>
          <t xml:space="preserve">Groceries</t>
        </is>
      </c>
      <c r="E34" s="3">
        <v>121.64</v>
      </c>
      <c r="G34" s="2" t="inlineStr">
        <is>
          <t xml:space="preserve">Haircuts – The Color Bar</t>
        </is>
      </c>
      <c r="H34" s="3">
        <f>SUMIF($C$4:$C$88,G34,$E$4:$E$88)</f>
        <v>32.5</v>
      </c>
    </row>
    <row r="35">
      <c r="A35" s="4">
        <v>46273</v>
      </c>
      <c r="B35" s="2" t="inlineStr">
        <is>
          <t xml:space="preserve">Venmo *Mark Bickler</t>
        </is>
      </c>
      <c r="C35" s="2" t="inlineStr">
        <is>
          <t xml:space="preserve">Transfers to People (Venmo/Zelle)</t>
        </is>
      </c>
      <c r="D35" s="2" t="inlineStr">
        <is>
          <t xml:space="preserve">Transfers</t>
        </is>
      </c>
      <c r="E35" s="3">
        <v>130.0</v>
      </c>
      <c r="G35" s="2" t="inlineStr">
        <is>
          <t xml:space="preserve">Retail – Cat on a Whisk</t>
        </is>
      </c>
      <c r="H35" s="3">
        <f>SUMIF($C$4:$C$88,G35,$E$4:$E$88)</f>
        <v>24.51</v>
      </c>
    </row>
    <row r="36">
      <c r="A36" s="4">
        <v>46273</v>
      </c>
      <c r="B36" s="2" t="inlineStr">
        <is>
          <t xml:space="preserve">Tst*Lucca Italian Shallotte NC</t>
        </is>
      </c>
      <c r="C36" s="2" t="inlineStr">
        <is>
          <t xml:space="preserve">Restaurants &amp; Takeout</t>
        </is>
      </c>
      <c r="D36" s="2" t="inlineStr">
        <is>
          <t xml:space="preserve">Food</t>
        </is>
      </c>
      <c r="E36" s="3">
        <v>104.54</v>
      </c>
      <c r="G36" s="2" t="inlineStr">
        <is>
          <t xml:space="preserve">Streaming – Frndly TV</t>
        </is>
      </c>
      <c r="H36" s="3">
        <f>SUMIF($C$4:$C$88,G36,$E$4:$E$88)</f>
        <v>22.41</v>
      </c>
    </row>
    <row r="37">
      <c r="A37" s="4">
        <v>46273</v>
      </c>
      <c r="B37" s="2" t="inlineStr">
        <is>
          <t xml:space="preserve">Delta Dental of Delta Dent</t>
        </is>
      </c>
      <c r="C37" s="2" t="inlineStr">
        <is>
          <t xml:space="preserve">Dental Insurance – Delta Dental</t>
        </is>
      </c>
      <c r="D37" s="2" t="inlineStr">
        <is>
          <t xml:space="preserve">Insurance</t>
        </is>
      </c>
      <c r="E37" s="3">
        <v>69.36</v>
      </c>
      <c r="G37" s="2" t="inlineStr">
        <is>
          <t xml:space="preserve">Streaming – Disney (via Roku)</t>
        </is>
      </c>
      <c r="H37" s="3">
        <f>SUMIF($C$4:$C$88,G37,$E$4:$E$88)</f>
        <v>20.27</v>
      </c>
    </row>
    <row r="38">
      <c r="A38" s="4">
        <v>46273</v>
      </c>
      <c r="B38" s="2" t="inlineStr">
        <is>
          <t xml:space="preserve">Banner Life Prem Debit 17180884647</t>
        </is>
      </c>
      <c r="C38" s="2" t="inlineStr">
        <is>
          <t xml:space="preserve">Banner Life Insurance</t>
        </is>
      </c>
      <c r="D38" s="2" t="inlineStr">
        <is>
          <t xml:space="preserve">Insurance</t>
        </is>
      </c>
      <c r="E38" s="3">
        <v>710.06</v>
      </c>
      <c r="G38" s="2" t="inlineStr">
        <is>
          <t xml:space="preserve">Retail – Ross</t>
        </is>
      </c>
      <c r="H38" s="3">
        <f>SUMIF($C$4:$C$88,G38,$E$4:$E$88)</f>
        <v>16.32</v>
      </c>
    </row>
    <row r="39">
      <c r="A39" s="4">
        <v>46274</v>
      </c>
      <c r="B39" s="2" t="inlineStr">
        <is>
          <t xml:space="preserve">Lowes Foods #27 Southport NC</t>
        </is>
      </c>
      <c r="C39" s="2" t="inlineStr">
        <is>
          <t xml:space="preserve">Grocery – Lowes Foods</t>
        </is>
      </c>
      <c r="D39" s="2" t="inlineStr">
        <is>
          <t xml:space="preserve">Groceries</t>
        </is>
      </c>
      <c r="E39" s="3">
        <v>221.77</v>
      </c>
      <c r="G39" s="2" t="inlineStr">
        <is>
          <t xml:space="preserve">Medical – Duke Hospital (Durham, food &amp; parking)</t>
        </is>
      </c>
      <c r="H39" s="3">
        <f>SUMIF($C$4:$C$88,G39,$E$4:$E$88)</f>
        <v>14.75</v>
      </c>
    </row>
    <row r="40">
      <c r="A40" s="4">
        <v>46274</v>
      </c>
      <c r="B40" s="2" t="inlineStr">
        <is>
          <t xml:space="preserve">Wtw Ccc Tccc 2026SEP</t>
        </is>
      </c>
      <c r="C40" s="2" t="inlineStr">
        <is>
          <t xml:space="preserve">WTW Health Premium (reimbursed by Via Benefits)</t>
        </is>
      </c>
      <c r="D40" s="2" t="inlineStr">
        <is>
          <t xml:space="preserve">Excluded</t>
        </is>
      </c>
      <c r="E40" s="3">
        <v>2576.0</v>
      </c>
      <c r="G40" s="2" t="inlineStr">
        <is>
          <t xml:space="preserve">Streaming – ESPN (Sept billed as Disney Plus)</t>
        </is>
      </c>
      <c r="H40" s="3">
        <f>SUMIF($C$4:$C$88,G40,$E$4:$E$88)</f>
        <v>13.87</v>
      </c>
    </row>
    <row r="41">
      <c r="A41" s="4">
        <v>46275</v>
      </c>
      <c r="B41" s="2" t="inlineStr">
        <is>
          <t xml:space="preserve">NC Quick Pass 877-769-7277 NC</t>
        </is>
      </c>
      <c r="C41" s="2" t="inlineStr">
        <is>
          <t xml:space="preserve">Tolls &amp; Parking</t>
        </is>
      </c>
      <c r="D41" s="2" t="inlineStr">
        <is>
          <t xml:space="preserve">Transportation</t>
        </is>
      </c>
      <c r="E41" s="3">
        <v>68.24</v>
      </c>
      <c r="G41" s="8" t="inlineStr">
        <is>
          <t xml:space="preserve">Total spending</t>
        </is>
      </c>
      <c r="H41" s="9">
        <f>SUM(H4:H40)</f>
        <v>11515.63</v>
      </c>
    </row>
    <row r="42">
      <c r="A42" s="4">
        <v>46275</v>
      </c>
      <c r="B42" s="2" t="inlineStr">
        <is>
          <t xml:space="preserve">Aci*Blue Cross NC</t>
        </is>
      </c>
      <c r="C42" s="2" t="inlineStr">
        <is>
          <t xml:space="preserve">Health Insurance – Blue Cross NC</t>
        </is>
      </c>
      <c r="D42" s="2" t="inlineStr">
        <is>
          <t xml:space="preserve">Insurance</t>
        </is>
      </c>
      <c r="E42" s="3">
        <v>216.25</v>
      </c>
    </row>
    <row r="43">
      <c r="A43" s="4">
        <v>46275</v>
      </c>
      <c r="B43" s="2" t="inlineStr">
        <is>
          <t xml:space="preserve">Pt *Dosher Hospita</t>
        </is>
      </c>
      <c r="C43" s="2" t="inlineStr">
        <is>
          <t xml:space="preserve">Medical – Dosher Hospital (Southport)</t>
        </is>
      </c>
      <c r="D43" s="2" t="inlineStr">
        <is>
          <t xml:space="preserve">Health</t>
        </is>
      </c>
      <c r="E43" s="3">
        <v>100.28</v>
      </c>
      <c r="G43" s="7" t="inlineStr">
        <is>
          <t xml:space="preserve">Not counted as spending</t>
        </is>
      </c>
      <c r="H43" s="7"/>
    </row>
    <row r="44">
      <c r="A44" s="4">
        <v>46275</v>
      </c>
      <c r="B44" s="2" t="inlineStr">
        <is>
          <t xml:space="preserve">Bemc - Ecc WWW.Bemc.Coop NC</t>
        </is>
      </c>
      <c r="C44" s="2" t="inlineStr">
        <is>
          <t xml:space="preserve">Utility – Electric (BEMC)</t>
        </is>
      </c>
      <c r="D44" s="2" t="inlineStr">
        <is>
          <t xml:space="preserve">Utilities</t>
        </is>
      </c>
      <c r="E44" s="3">
        <v>419.66</v>
      </c>
      <c r="G44" s="2" t="inlineStr">
        <is>
          <t xml:space="preserve">Credit Card Payoff – American Express</t>
        </is>
      </c>
      <c r="H44" s="3">
        <f>SUMIF($C$4:$C$88,G44,$E$4:$E$88)</f>
        <v>4738.51</v>
      </c>
    </row>
    <row r="45">
      <c r="A45" s="4">
        <v>46275</v>
      </c>
      <c r="B45" s="2" t="inlineStr">
        <is>
          <t xml:space="preserve">Focus Broadband Clover.Com NC</t>
        </is>
      </c>
      <c r="C45" s="2" t="inlineStr">
        <is>
          <t xml:space="preserve">Internet – Focus Broadband</t>
        </is>
      </c>
      <c r="D45" s="2" t="inlineStr">
        <is>
          <t xml:space="preserve">Phone &amp; Internet</t>
        </is>
      </c>
      <c r="E45" s="3">
        <v>80.79</v>
      </c>
      <c r="G45" s="2" t="inlineStr">
        <is>
          <t xml:space="preserve">WTW Health Premium (reimbursed by Via Benefits)</t>
        </is>
      </c>
      <c r="H45" s="3">
        <f>SUMIF($C$4:$C$88,G45,$E$4:$E$88)</f>
        <v>2576.0</v>
      </c>
    </row>
    <row r="46">
      <c r="A46" s="4">
        <v>46275</v>
      </c>
      <c r="B46" s="2" t="inlineStr">
        <is>
          <t xml:space="preserve">Lowe's #682 Southport NC</t>
        </is>
      </c>
      <c r="C46" s="2" t="inlineStr">
        <is>
          <t xml:space="preserve">Retail – Lowe's (home improvement)</t>
        </is>
      </c>
      <c r="D46" s="2" t="inlineStr">
        <is>
          <t xml:space="preserve">Retail</t>
        </is>
      </c>
      <c r="E46" s="3">
        <v>85.27</v>
      </c>
    </row>
    <row r="47">
      <c r="A47" s="4">
        <v>46279</v>
      </c>
      <c r="B47" s="2" t="inlineStr">
        <is>
          <t xml:space="preserve">Opc*Brunswick CO U</t>
        </is>
      </c>
      <c r="C47" s="2" t="inlineStr">
        <is>
          <t xml:space="preserve">Utility – Water/Sewer (Brunswick County)</t>
        </is>
      </c>
      <c r="D47" s="2" t="inlineStr">
        <is>
          <t xml:space="preserve">Utilities</t>
        </is>
      </c>
      <c r="E47" s="3">
        <v>81.31</v>
      </c>
    </row>
    <row r="48">
      <c r="A48" s="4">
        <v>46279</v>
      </c>
      <c r="B48" s="2" t="inlineStr">
        <is>
          <t xml:space="preserve">Opc Utl*Service Fe</t>
        </is>
      </c>
      <c r="C48" s="2" t="inlineStr">
        <is>
          <t xml:space="preserve">Utility – Water/Sewer (Brunswick County)</t>
        </is>
      </c>
      <c r="D48" s="2" t="inlineStr">
        <is>
          <t xml:space="preserve">Utilities</t>
        </is>
      </c>
      <c r="E48" s="3">
        <v>2.95</v>
      </c>
    </row>
    <row r="49">
      <c r="A49" s="4">
        <v>46279</v>
      </c>
      <c r="B49" s="2" t="inlineStr">
        <is>
          <t xml:space="preserve">Kiwanis Club of So Southport NC</t>
        </is>
      </c>
      <c r="C49" s="2" t="inlineStr">
        <is>
          <t xml:space="preserve">Donations &amp; Clubs (Kiwanis)</t>
        </is>
      </c>
      <c r="D49" s="2" t="inlineStr">
        <is>
          <t xml:space="preserve">Other</t>
        </is>
      </c>
      <c r="E49" s="3">
        <v>200.0</v>
      </c>
    </row>
    <row r="50">
      <c r="A50" s="4">
        <v>46279</v>
      </c>
      <c r="B50" s="2" t="inlineStr">
        <is>
          <t xml:space="preserve">Disney Plus Ecom</t>
        </is>
      </c>
      <c r="C50" s="2" t="inlineStr">
        <is>
          <t xml:space="preserve">Streaming – ESPN (Sept billed as Disney Plus)</t>
        </is>
      </c>
      <c r="D50" s="2" t="inlineStr">
        <is>
          <t xml:space="preserve">Streaming</t>
        </is>
      </c>
      <c r="E50" s="3">
        <v>13.87</v>
      </c>
    </row>
    <row r="51">
      <c r="A51" s="4">
        <v>46279</v>
      </c>
      <c r="B51" s="2" t="inlineStr">
        <is>
          <t xml:space="preserve">Google Youtubetv N</t>
        </is>
      </c>
      <c r="C51" s="2" t="inlineStr">
        <is>
          <t xml:space="preserve">Streaming – YouTube TV (Google)</t>
        </is>
      </c>
      <c r="D51" s="2" t="inlineStr">
        <is>
          <t xml:space="preserve">Streaming</t>
        </is>
      </c>
      <c r="E51" s="3">
        <v>43.43</v>
      </c>
    </row>
    <row r="52">
      <c r="A52" s="4">
        <v>46279</v>
      </c>
      <c r="B52" s="2" t="inlineStr">
        <is>
          <t xml:space="preserve">Village Store 4 Wallace NC</t>
        </is>
      </c>
      <c r="C52" s="2" t="inlineStr">
        <is>
          <t xml:space="preserve">Gas &amp; Convenience Stores</t>
        </is>
      </c>
      <c r="D52" s="2" t="inlineStr">
        <is>
          <t xml:space="preserve">Transportation</t>
        </is>
      </c>
      <c r="E52" s="3">
        <v>52.03</v>
      </c>
    </row>
    <row r="53">
      <c r="A53" s="4">
        <v>46279</v>
      </c>
      <c r="B53" s="2" t="inlineStr">
        <is>
          <t xml:space="preserve">NY Pizza - Bass PR Cary NC</t>
        </is>
      </c>
      <c r="C53" s="2" t="inlineStr">
        <is>
          <t xml:space="preserve">Restaurants &amp; Takeout</t>
        </is>
      </c>
      <c r="D53" s="2" t="inlineStr">
        <is>
          <t xml:space="preserve">Food</t>
        </is>
      </c>
      <c r="E53" s="3">
        <v>34.89</v>
      </c>
    </row>
    <row r="54">
      <c r="A54" s="4">
        <v>46279</v>
      </c>
      <c r="B54" s="2" t="inlineStr">
        <is>
          <t xml:space="preserve">Lowes Food #235 Bolivia NC</t>
        </is>
      </c>
      <c r="C54" s="2" t="inlineStr">
        <is>
          <t xml:space="preserve">Grocery – Lowes Foods</t>
        </is>
      </c>
      <c r="D54" s="2" t="inlineStr">
        <is>
          <t xml:space="preserve">Groceries</t>
        </is>
      </c>
      <c r="E54" s="3">
        <v>88.63</v>
      </c>
    </row>
    <row r="55">
      <c r="A55" s="4">
        <v>46279</v>
      </c>
      <c r="B55" s="2" t="inlineStr">
        <is>
          <t xml:space="preserve">Dept Education Student Ln 0000</t>
        </is>
      </c>
      <c r="C55" s="2" t="inlineStr">
        <is>
          <t xml:space="preserve">Student Loan (Dept of Education)</t>
        </is>
      </c>
      <c r="D55" s="2" t="inlineStr">
        <is>
          <t xml:space="preserve">Student Loan</t>
        </is>
      </c>
      <c r="E55" s="3">
        <v>160.37</v>
      </c>
    </row>
    <row r="56">
      <c r="A56" s="4">
        <v>46280</v>
      </c>
      <c r="B56" s="2" t="inlineStr">
        <is>
          <t xml:space="preserve">Amk Duke South Wps Durham</t>
        </is>
      </c>
      <c r="C56" s="2" t="inlineStr">
        <is>
          <t xml:space="preserve">Medical – Duke Hospital (Durham, food &amp; parking)</t>
        </is>
      </c>
      <c r="D56" s="2" t="inlineStr">
        <is>
          <t xml:space="preserve">Health</t>
        </is>
      </c>
      <c r="E56" s="3">
        <v>8.75</v>
      </c>
    </row>
    <row r="57">
      <c r="A57" s="4">
        <v>46280</v>
      </c>
      <c r="B57" s="2" t="inlineStr">
        <is>
          <t xml:space="preserve">Autobks*Nextgen LA</t>
        </is>
      </c>
      <c r="C57" s="2" t="inlineStr">
        <is>
          <t xml:space="preserve">Yard Company (NextGen)</t>
        </is>
      </c>
      <c r="D57" s="2" t="inlineStr">
        <is>
          <t xml:space="preserve">Home</t>
        </is>
      </c>
      <c r="E57" s="3">
        <v>60.0</v>
      </c>
    </row>
    <row r="58">
      <c r="A58" s="4">
        <v>46280</v>
      </c>
      <c r="B58" s="2" t="inlineStr">
        <is>
          <t xml:space="preserve">Duke Pkg I Durham NC</t>
        </is>
      </c>
      <c r="C58" s="2" t="inlineStr">
        <is>
          <t xml:space="preserve">Medical – Duke Hospital (Durham, food &amp; parking)</t>
        </is>
      </c>
      <c r="D58" s="2" t="inlineStr">
        <is>
          <t xml:space="preserve">Health</t>
        </is>
      </c>
      <c r="E58" s="3">
        <v>6.0</v>
      </c>
    </row>
    <row r="59">
      <c r="A59" s="4">
        <v>46280</v>
      </c>
      <c r="B59" s="2" t="inlineStr">
        <is>
          <t xml:space="preserve">Non-WF ATM Withdrawal authorized on 09/15 5084 Southport</t>
        </is>
      </c>
      <c r="C59" s="2" t="inlineStr">
        <is>
          <t xml:space="preserve">Cash (ATM) &amp; Bank Fees</t>
        </is>
      </c>
      <c r="D59" s="2" t="inlineStr">
        <is>
          <t xml:space="preserve">Other</t>
        </is>
      </c>
      <c r="E59" s="3">
        <v>144.0</v>
      </c>
    </row>
    <row r="60">
      <c r="A60" s="4">
        <v>46280</v>
      </c>
      <c r="B60" s="2" t="inlineStr">
        <is>
          <t xml:space="preserve">Non-Wells Fargo ATM Transaction Fee</t>
        </is>
      </c>
      <c r="C60" s="2" t="inlineStr">
        <is>
          <t xml:space="preserve">Cash (ATM) &amp; Bank Fees</t>
        </is>
      </c>
      <c r="D60" s="2" t="inlineStr">
        <is>
          <t xml:space="preserve">Other</t>
        </is>
      </c>
      <c r="E60" s="3">
        <v>3.0</v>
      </c>
    </row>
    <row r="61">
      <c r="A61" s="4">
        <v>46280</v>
      </c>
      <c r="B61" s="2" t="inlineStr">
        <is>
          <t xml:space="preserve">Circlek #2723487 16 Oc Supply</t>
        </is>
      </c>
      <c r="C61" s="2" t="inlineStr">
        <is>
          <t xml:space="preserve">Gas &amp; Convenience Stores</t>
        </is>
      </c>
      <c r="D61" s="2" t="inlineStr">
        <is>
          <t xml:space="preserve">Transportation</t>
        </is>
      </c>
      <c r="E61" s="3">
        <v>49.21</v>
      </c>
    </row>
    <row r="62">
      <c r="A62" s="4">
        <v>46280</v>
      </c>
      <c r="B62" s="2" t="inlineStr">
        <is>
          <t xml:space="preserve">Marshalls #1502 Shallotte NC</t>
        </is>
      </c>
      <c r="C62" s="2" t="inlineStr">
        <is>
          <t xml:space="preserve">Retail – Marshalls</t>
        </is>
      </c>
      <c r="D62" s="2" t="inlineStr">
        <is>
          <t xml:space="preserve">Retail</t>
        </is>
      </c>
      <c r="E62" s="3">
        <v>41.59</v>
      </c>
    </row>
    <row r="63">
      <c r="A63" s="4">
        <v>46280</v>
      </c>
      <c r="B63" s="2" t="inlineStr">
        <is>
          <t xml:space="preserve">Hobbylobby Shallotte NC</t>
        </is>
      </c>
      <c r="C63" s="2" t="inlineStr">
        <is>
          <t xml:space="preserve">Retail – Hobby Lobby</t>
        </is>
      </c>
      <c r="D63" s="2" t="inlineStr">
        <is>
          <t xml:space="preserve">Retail</t>
        </is>
      </c>
      <c r="E63" s="3">
        <v>37.33</v>
      </c>
    </row>
    <row r="64">
      <c r="A64" s="4">
        <v>46280</v>
      </c>
      <c r="B64" s="2" t="inlineStr">
        <is>
          <t xml:space="preserve">A&amp;D Mortgage LLC Re Payment</t>
        </is>
      </c>
      <c r="C64" s="2" t="inlineStr">
        <is>
          <t xml:space="preserve">A&amp;D Mortgage</t>
        </is>
      </c>
      <c r="D64" s="2" t="inlineStr">
        <is>
          <t xml:space="preserve">Housing</t>
        </is>
      </c>
      <c r="E64" s="3">
        <v>3411.1</v>
      </c>
    </row>
    <row r="65">
      <c r="A65" s="4">
        <v>46281</v>
      </c>
      <c r="B65" s="2" t="inlineStr">
        <is>
          <t xml:space="preserve">Wendys 333 Garner NC</t>
        </is>
      </c>
      <c r="C65" s="2" t="inlineStr">
        <is>
          <t xml:space="preserve">Restaurants &amp; Takeout</t>
        </is>
      </c>
      <c r="D65" s="2" t="inlineStr">
        <is>
          <t xml:space="preserve">Food</t>
        </is>
      </c>
      <c r="E65" s="3">
        <v>13.86</v>
      </c>
    </row>
    <row r="66">
      <c r="A66" s="4">
        <v>46281</v>
      </c>
      <c r="B66" s="2" t="inlineStr">
        <is>
          <t xml:space="preserve">McDonald's F35966 Supply NC</t>
        </is>
      </c>
      <c r="C66" s="2" t="inlineStr">
        <is>
          <t xml:space="preserve">Restaurants &amp; Takeout</t>
        </is>
      </c>
      <c r="D66" s="2" t="inlineStr">
        <is>
          <t xml:space="preserve">Food</t>
        </is>
      </c>
      <c r="E66" s="3">
        <v>9.58</v>
      </c>
    </row>
    <row r="67">
      <c r="A67" s="4">
        <v>46282</v>
      </c>
      <c r="B67" s="2" t="inlineStr">
        <is>
          <t xml:space="preserve">Chick-Fil-A #04769 Shallotte NC</t>
        </is>
      </c>
      <c r="C67" s="2" t="inlineStr">
        <is>
          <t xml:space="preserve">Restaurants &amp; Takeout</t>
        </is>
      </c>
      <c r="D67" s="2" t="inlineStr">
        <is>
          <t xml:space="preserve">Food</t>
        </is>
      </c>
      <c r="E67" s="3">
        <v>10.05</v>
      </c>
    </row>
    <row r="68">
      <c r="A68" s="4">
        <v>46282</v>
      </c>
      <c r="B68" s="2" t="inlineStr">
        <is>
          <t xml:space="preserve">Ross Store #2284 Shallotte NC</t>
        </is>
      </c>
      <c r="C68" s="2" t="inlineStr">
        <is>
          <t xml:space="preserve">Retail – Ross</t>
        </is>
      </c>
      <c r="D68" s="2" t="inlineStr">
        <is>
          <t xml:space="preserve">Retail</t>
        </is>
      </c>
      <c r="E68" s="3">
        <v>16.32</v>
      </c>
    </row>
    <row r="69">
      <c r="A69" s="4">
        <v>46282</v>
      </c>
      <c r="B69" s="2" t="inlineStr">
        <is>
          <t xml:space="preserve">Tst* The Grumpy MO Myrtle</t>
        </is>
      </c>
      <c r="C69" s="2" t="inlineStr">
        <is>
          <t xml:space="preserve">Restaurants &amp; Takeout</t>
        </is>
      </c>
      <c r="D69" s="2" t="inlineStr">
        <is>
          <t xml:space="preserve">Food</t>
        </is>
      </c>
      <c r="E69" s="3">
        <v>25.97</v>
      </c>
    </row>
    <row r="70">
      <c r="A70" s="4">
        <v>46282</v>
      </c>
      <c r="B70" s="2" t="inlineStr">
        <is>
          <t xml:space="preserve">McDonald's F31556 Little River</t>
        </is>
      </c>
      <c r="C70" s="2" t="inlineStr">
        <is>
          <t xml:space="preserve">Restaurants &amp; Takeout</t>
        </is>
      </c>
      <c r="D70" s="2" t="inlineStr">
        <is>
          <t xml:space="preserve">Food</t>
        </is>
      </c>
      <c r="E70" s="3">
        <v>11.25</v>
      </c>
    </row>
    <row r="71">
      <c r="A71" s="4">
        <v>46282</v>
      </c>
      <c r="B71" s="2" t="inlineStr">
        <is>
          <t xml:space="preserve">+Lincoln Nationa EDI Pymnt</t>
        </is>
      </c>
      <c r="C71" s="2" t="inlineStr">
        <is>
          <t xml:space="preserve">Life Insurance (Lincoln National)</t>
        </is>
      </c>
      <c r="D71" s="2" t="inlineStr">
        <is>
          <t xml:space="preserve">Insurance</t>
        </is>
      </c>
      <c r="E71" s="3">
        <v>73.61</v>
      </c>
    </row>
    <row r="72">
      <c r="A72" s="4">
        <v>46283</v>
      </c>
      <c r="B72" s="2" t="inlineStr">
        <is>
          <t xml:space="preserve">Starbucks Store 71 Southport</t>
        </is>
      </c>
      <c r="C72" s="2" t="inlineStr">
        <is>
          <t xml:space="preserve">Restaurants &amp; Takeout</t>
        </is>
      </c>
      <c r="D72" s="2" t="inlineStr">
        <is>
          <t xml:space="preserve">Food</t>
        </is>
      </c>
      <c r="E72" s="3">
        <v>9.42</v>
      </c>
    </row>
    <row r="73">
      <c r="A73" s="4">
        <v>46283</v>
      </c>
      <c r="B73" s="2" t="inlineStr">
        <is>
          <t xml:space="preserve">San Felipe Mexican</t>
        </is>
      </c>
      <c r="C73" s="2" t="inlineStr">
        <is>
          <t xml:space="preserve">Restaurants &amp; Takeout</t>
        </is>
      </c>
      <c r="D73" s="2" t="inlineStr">
        <is>
          <t xml:space="preserve">Food</t>
        </is>
      </c>
      <c r="E73" s="3">
        <v>17.86</v>
      </c>
    </row>
    <row r="74">
      <c r="A74" s="4">
        <v>46286</v>
      </c>
      <c r="B74" s="2" t="inlineStr">
        <is>
          <t xml:space="preserve">Chick-Fil-A #04769 Shallotte NC</t>
        </is>
      </c>
      <c r="C74" s="2" t="inlineStr">
        <is>
          <t xml:space="preserve">Restaurants &amp; Takeout</t>
        </is>
      </c>
      <c r="D74" s="2" t="inlineStr">
        <is>
          <t xml:space="preserve">Food</t>
        </is>
      </c>
      <c r="E74" s="3">
        <v>18.49</v>
      </c>
    </row>
    <row r="75">
      <c r="A75" s="4">
        <v>46286</v>
      </c>
      <c r="B75" s="2" t="inlineStr">
        <is>
          <t xml:space="preserve">Allstate *Paymn</t>
        </is>
      </c>
      <c r="C75" s="2" t="inlineStr">
        <is>
          <t xml:space="preserve">Allstate Insurance</t>
        </is>
      </c>
      <c r="D75" s="2" t="inlineStr">
        <is>
          <t xml:space="preserve">Insurance</t>
        </is>
      </c>
      <c r="E75" s="3">
        <v>354.17</v>
      </c>
    </row>
    <row r="76">
      <c r="A76" s="4">
        <v>46286</v>
      </c>
      <c r="B76" s="2" t="inlineStr">
        <is>
          <t xml:space="preserve">Publix #1703 Oak Island NC</t>
        </is>
      </c>
      <c r="C76" s="2" t="inlineStr">
        <is>
          <t xml:space="preserve">Grocery – Publix</t>
        </is>
      </c>
      <c r="D76" s="2" t="inlineStr">
        <is>
          <t xml:space="preserve">Groceries</t>
        </is>
      </c>
      <c r="E76" s="3">
        <v>288.5</v>
      </c>
    </row>
    <row r="77">
      <c r="A77" s="4">
        <v>46286</v>
      </c>
      <c r="B77" s="2" t="inlineStr">
        <is>
          <t xml:space="preserve">St James 7134 Pap</t>
        </is>
      </c>
      <c r="C77" s="2" t="inlineStr">
        <is>
          <t xml:space="preserve">St. James Membership (Club)</t>
        </is>
      </c>
      <c r="D77" s="2" t="inlineStr">
        <is>
          <t xml:space="preserve">Housing</t>
        </is>
      </c>
      <c r="E77" s="3">
        <v>1767.0</v>
      </c>
    </row>
    <row r="78">
      <c r="A78" s="4">
        <v>46286</v>
      </c>
      <c r="B78" s="2" t="inlineStr">
        <is>
          <t xml:space="preserve">Verizon Wireless Payments</t>
        </is>
      </c>
      <c r="C78" s="2" t="inlineStr">
        <is>
          <t xml:space="preserve">Verizon Wireless</t>
        </is>
      </c>
      <c r="D78" s="2" t="inlineStr">
        <is>
          <t xml:space="preserve">Phone &amp; Internet</t>
        </is>
      </c>
      <c r="E78" s="3">
        <v>386.85</v>
      </c>
    </row>
    <row r="79">
      <c r="A79" s="4">
        <v>46286</v>
      </c>
      <c r="B79" s="2" t="inlineStr">
        <is>
          <t xml:space="preserve">American Express ACH Pmt W0072</t>
        </is>
      </c>
      <c r="C79" s="2" t="inlineStr">
        <is>
          <t xml:space="preserve">Credit Card Payoff – American Express</t>
        </is>
      </c>
      <c r="D79" s="2" t="inlineStr">
        <is>
          <t xml:space="preserve">Excluded</t>
        </is>
      </c>
      <c r="E79" s="3">
        <v>4738.51</v>
      </c>
    </row>
    <row r="80">
      <c r="A80" s="4">
        <v>46287</v>
      </c>
      <c r="B80" s="2" t="inlineStr">
        <is>
          <t xml:space="preserve">Sp Hippie Chick Gr</t>
        </is>
      </c>
      <c r="C80" s="2" t="inlineStr">
        <is>
          <t xml:space="preserve">Retail – Local shops (Hippie Chick, Southport Spices, Mad River, Coastal Carolina)</t>
        </is>
      </c>
      <c r="D80" s="2" t="inlineStr">
        <is>
          <t xml:space="preserve">Retail</t>
        </is>
      </c>
      <c r="E80" s="3">
        <v>22.99</v>
      </c>
    </row>
    <row r="81">
      <c r="A81" s="4">
        <v>46287</v>
      </c>
      <c r="B81" s="2" t="inlineStr">
        <is>
          <t xml:space="preserve">Thai &amp; Vine Oak Island NC</t>
        </is>
      </c>
      <c r="C81" s="2" t="inlineStr">
        <is>
          <t xml:space="preserve">Restaurants &amp; Takeout</t>
        </is>
      </c>
      <c r="D81" s="2" t="inlineStr">
        <is>
          <t xml:space="preserve">Food</t>
        </is>
      </c>
      <c r="E81" s="3">
        <v>70.83</v>
      </c>
    </row>
    <row r="82">
      <c r="A82" s="4">
        <v>46287</v>
      </c>
      <c r="B82" s="2" t="inlineStr">
        <is>
          <t xml:space="preserve">7-Eleven Myrtle Beach SC</t>
        </is>
      </c>
      <c r="C82" s="2" t="inlineStr">
        <is>
          <t xml:space="preserve">Gas &amp; Convenience Stores</t>
        </is>
      </c>
      <c r="D82" s="2" t="inlineStr">
        <is>
          <t xml:space="preserve">Transportation</t>
        </is>
      </c>
      <c r="E82" s="3">
        <v>8.07</v>
      </c>
    </row>
    <row r="83">
      <c r="A83" s="4">
        <v>46288</v>
      </c>
      <c r="B83" s="2" t="inlineStr">
        <is>
          <t xml:space="preserve">Tst*Koko Cabana - Oak Island NC</t>
        </is>
      </c>
      <c r="C83" s="2" t="inlineStr">
        <is>
          <t xml:space="preserve">Restaurants &amp; Takeout</t>
        </is>
      </c>
      <c r="D83" s="2" t="inlineStr">
        <is>
          <t xml:space="preserve">Food</t>
        </is>
      </c>
      <c r="E83" s="3">
        <v>110.34</v>
      </c>
    </row>
    <row r="84">
      <c r="A84" s="4">
        <v>46288</v>
      </c>
      <c r="B84" s="2" t="inlineStr">
        <is>
          <t xml:space="preserve">McDonald's F35966 Supply NC</t>
        </is>
      </c>
      <c r="C84" s="2" t="inlineStr">
        <is>
          <t xml:space="preserve">Restaurants &amp; Takeout</t>
        </is>
      </c>
      <c r="D84" s="2" t="inlineStr">
        <is>
          <t xml:space="preserve">Food</t>
        </is>
      </c>
      <c r="E84" s="3">
        <v>11.91</v>
      </c>
    </row>
    <row r="85">
      <c r="A85" s="4">
        <v>46288</v>
      </c>
      <c r="B85" s="2" t="inlineStr">
        <is>
          <t xml:space="preserve">Publix #1703 Oak Island NC</t>
        </is>
      </c>
      <c r="C85" s="2" t="inlineStr">
        <is>
          <t xml:space="preserve">Grocery – Publix</t>
        </is>
      </c>
      <c r="D85" s="2" t="inlineStr">
        <is>
          <t xml:space="preserve">Groceries</t>
        </is>
      </c>
      <c r="E85" s="3">
        <v>121.78</v>
      </c>
    </row>
    <row r="86">
      <c r="A86" s="4">
        <v>46288</v>
      </c>
      <c r="B86" s="2" t="inlineStr">
        <is>
          <t xml:space="preserve">Murphy 8572 Southport NC</t>
        </is>
      </c>
      <c r="C86" s="2" t="inlineStr">
        <is>
          <t xml:space="preserve">Gas &amp; Convenience Stores</t>
        </is>
      </c>
      <c r="D86" s="2" t="inlineStr">
        <is>
          <t xml:space="preserve">Transportation</t>
        </is>
      </c>
      <c r="E86" s="3">
        <v>66.51</v>
      </c>
    </row>
    <row r="87">
      <c r="A87" s="4">
        <v>46289</v>
      </c>
      <c r="B87" s="2" t="inlineStr">
        <is>
          <t xml:space="preserve">Tst* The Grumpy MO Myrtle</t>
        </is>
      </c>
      <c r="C87" s="2" t="inlineStr">
        <is>
          <t xml:space="preserve">Restaurants &amp; Takeout</t>
        </is>
      </c>
      <c r="D87" s="2" t="inlineStr">
        <is>
          <t xml:space="preserve">Food</t>
        </is>
      </c>
      <c r="E87" s="3">
        <v>40.89</v>
      </c>
    </row>
    <row r="88">
      <c r="A88" s="4">
        <v>46289</v>
      </c>
      <c r="B88" s="2" t="inlineStr">
        <is>
          <t xml:space="preserve">Moore Street Oyste</t>
        </is>
      </c>
      <c r="C88" s="2" t="inlineStr">
        <is>
          <t xml:space="preserve">Restaurants &amp; Takeout</t>
        </is>
      </c>
      <c r="D88" s="2" t="inlineStr">
        <is>
          <t xml:space="preserve">Food</t>
        </is>
      </c>
      <c r="E88" s="3">
        <v>27.32</v>
      </c>
    </row>
    <row r="89">
      <c r="A89" s="8"/>
      <c r="B89" s="8"/>
      <c r="C89" s="8"/>
      <c r="D89" s="8" t="inlineStr">
        <is>
          <t xml:space="preserve">Total spending</t>
        </is>
      </c>
      <c r="E89" s="9">
        <f>SUMIF(D4:D88,"&lt;&gt;Excluded",E4:E88)</f>
        <v>11515.63</v>
      </c>
    </row>
    <row r="90">
      <c r="D90" s="7" t="inlineStr">
        <is>
          <t xml:space="preserve">Not counted (Excluded)</t>
        </is>
      </c>
      <c r="E90" s="6">
        <f>SUMIF(D4:D88,"Excluded",E4:E88)</f>
        <v>7314.51</v>
      </c>
    </row>
  </sheetData>
  <autoFilter ref="A3:E88"/>
  <pageMargins left="0.5" right="0.5" top="0.6" bottom="0.6" header="0.3" footer="0.3"/>
  <pageSetup orientation="landscape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4" topLeftCell="A5" activePane="bottomLeft" state="frozen"/>
    </sheetView>
  </sheetViews>
  <sheetFormatPr defaultRowHeight="15"/>
  <cols>
    <col min="1" max="1" width="16" customWidth="1"/>
    <col min="2" max="2" width="11" customWidth="1"/>
    <col min="3" max="3" width="52" customWidth="1"/>
    <col min="4" max="4" width="38" customWidth="1"/>
    <col min="5" max="5" width="16" customWidth="1"/>
    <col min="6" max="6" width="13" customWidth="1"/>
  </cols>
  <sheetData>
    <row r="1">
      <c r="A1" s="10" t="inlineStr">
        <is>
          <t xml:space="preserve">All Checking Withdrawals – Wells Fargo Everyday Checking (…6004)</t>
        </is>
      </c>
    </row>
    <row r="2">
      <c r="A2" s="14" t="inlineStr">
        <is>
          <t xml:space="preserve">Every debit on the four statements, 5/27/26 – 9/24/26. "Month" = statement period. Use the filter arrows to sort or filter.</t>
        </is>
      </c>
    </row>
    <row r="4">
      <c r="A4" s="1" t="inlineStr">
        <is>
          <t xml:space="preserve">Month</t>
        </is>
      </c>
      <c r="B4" s="1" t="inlineStr">
        <is>
          <t xml:space="preserve">Date</t>
        </is>
      </c>
      <c r="C4" s="15" t="inlineStr">
        <is>
          <t xml:space="preserve">Description (from statement)</t>
        </is>
      </c>
      <c r="D4" s="1" t="inlineStr">
        <is>
          <t xml:space="preserve">Category</t>
        </is>
      </c>
      <c r="E4" s="1" t="inlineStr">
        <is>
          <t xml:space="preserve">Group</t>
        </is>
      </c>
      <c r="F4" s="1" t="inlineStr">
        <is>
          <t xml:space="preserve">Amount</t>
        </is>
      </c>
    </row>
    <row r="5">
      <c r="A5" s="2" t="inlineStr">
        <is>
          <t xml:space="preserve">June 2026</t>
        </is>
      </c>
      <c r="B5" s="4">
        <v>46169</v>
      </c>
      <c r="C5" s="2" t="inlineStr">
        <is>
          <t xml:space="preserve">Aci*Blue Cross NC Durham NC</t>
        </is>
      </c>
      <c r="D5" s="2" t="inlineStr">
        <is>
          <t xml:space="preserve">Health Insurance – Blue Cross NC</t>
        </is>
      </c>
      <c r="E5" s="2" t="inlineStr">
        <is>
          <t xml:space="preserve">Insurance</t>
        </is>
      </c>
      <c r="F5" s="3">
        <v>216.25</v>
      </c>
    </row>
    <row r="6">
      <c r="A6" s="2" t="inlineStr">
        <is>
          <t xml:space="preserve">June 2026</t>
        </is>
      </c>
      <c r="B6" s="4">
        <v>46169</v>
      </c>
      <c r="C6" s="2" t="inlineStr">
        <is>
          <t xml:space="preserve">Chipotle 4232 Conway SC</t>
        </is>
      </c>
      <c r="D6" s="2" t="inlineStr">
        <is>
          <t xml:space="preserve">Restaurants &amp; Takeout</t>
        </is>
      </c>
      <c r="E6" s="2" t="inlineStr">
        <is>
          <t xml:space="preserve">Food</t>
        </is>
      </c>
      <c r="F6" s="3">
        <v>24.53</v>
      </c>
    </row>
    <row r="7">
      <c r="A7" s="2" t="inlineStr">
        <is>
          <t xml:space="preserve">June 2026</t>
        </is>
      </c>
      <c r="B7" s="4">
        <v>46170</v>
      </c>
      <c r="C7" s="2" t="inlineStr">
        <is>
          <t xml:space="preserve">Chick-Fil-A #04769 Shallotte NC</t>
        </is>
      </c>
      <c r="D7" s="2" t="inlineStr">
        <is>
          <t xml:space="preserve">Restaurants &amp; Takeout</t>
        </is>
      </c>
      <c r="E7" s="2" t="inlineStr">
        <is>
          <t xml:space="preserve">Food</t>
        </is>
      </c>
      <c r="F7" s="3">
        <v>11.2</v>
      </c>
    </row>
    <row r="8">
      <c r="A8" s="2" t="inlineStr">
        <is>
          <t xml:space="preserve">June 2026</t>
        </is>
      </c>
      <c r="B8" s="4">
        <v>46170</v>
      </c>
      <c r="C8" s="2" t="inlineStr">
        <is>
          <t xml:space="preserve">Dairy Queen #15351 Supply NC</t>
        </is>
      </c>
      <c r="D8" s="2" t="inlineStr">
        <is>
          <t xml:space="preserve">Restaurants &amp; Takeout</t>
        </is>
      </c>
      <c r="E8" s="2" t="inlineStr">
        <is>
          <t xml:space="preserve">Food</t>
        </is>
      </c>
      <c r="F8" s="3">
        <v>7.35</v>
      </c>
    </row>
    <row r="9">
      <c r="A9" s="2" t="inlineStr">
        <is>
          <t xml:space="preserve">June 2026</t>
        </is>
      </c>
      <c r="B9" s="4">
        <v>46170</v>
      </c>
      <c r="C9" s="2" t="inlineStr">
        <is>
          <t xml:space="preserve">Belk Syf Paymnt May 28 604583156390724 Dempseyleigh</t>
        </is>
      </c>
      <c r="D9" s="2" t="inlineStr">
        <is>
          <t xml:space="preserve">Retail – Belk (store card payments)</t>
        </is>
      </c>
      <c r="E9" s="2" t="inlineStr">
        <is>
          <t xml:space="preserve">Retail</t>
        </is>
      </c>
      <c r="F9" s="3">
        <v>386.69</v>
      </c>
    </row>
    <row r="10">
      <c r="A10" s="2" t="inlineStr">
        <is>
          <t xml:space="preserve">June 2026</t>
        </is>
      </c>
      <c r="B10" s="4">
        <v>46171</v>
      </c>
      <c r="C10" s="2" t="inlineStr">
        <is>
          <t xml:space="preserve">Google *Youtube Tv</t>
        </is>
      </c>
      <c r="D10" s="2" t="inlineStr">
        <is>
          <t xml:space="preserve">Streaming – YouTube TV (Google)</t>
        </is>
      </c>
      <c r="E10" s="2" t="inlineStr">
        <is>
          <t xml:space="preserve">Streaming</t>
        </is>
      </c>
      <c r="F10" s="3">
        <v>89.0</v>
      </c>
    </row>
    <row r="11">
      <c r="A11" s="2" t="inlineStr">
        <is>
          <t xml:space="preserve">June 2026</t>
        </is>
      </c>
      <c r="B11" s="4">
        <v>46171</v>
      </c>
      <c r="C11" s="2" t="inlineStr">
        <is>
          <t xml:space="preserve">Google *Youtube Tv</t>
        </is>
      </c>
      <c r="D11" s="2" t="inlineStr">
        <is>
          <t xml:space="preserve">Streaming – YouTube TV (Google)</t>
        </is>
      </c>
      <c r="E11" s="2" t="inlineStr">
        <is>
          <t xml:space="preserve">Streaming</t>
        </is>
      </c>
      <c r="F11" s="3">
        <v>11.78</v>
      </c>
    </row>
    <row r="12">
      <c r="A12" s="2" t="inlineStr">
        <is>
          <t xml:space="preserve">June 2026</t>
        </is>
      </c>
      <c r="B12" s="4">
        <v>46171</v>
      </c>
      <c r="C12" s="2" t="inlineStr">
        <is>
          <t xml:space="preserve">Roku for Disney El</t>
        </is>
      </c>
      <c r="D12" s="2" t="inlineStr">
        <is>
          <t xml:space="preserve">Streaming – Disney (via Roku)</t>
        </is>
      </c>
      <c r="E12" s="2" t="inlineStr">
        <is>
          <t xml:space="preserve">Streaming</t>
        </is>
      </c>
      <c r="F12" s="3">
        <v>20.27</v>
      </c>
    </row>
    <row r="13">
      <c r="A13" s="2" t="inlineStr">
        <is>
          <t xml:space="preserve">June 2026</t>
        </is>
      </c>
      <c r="B13" s="4">
        <v>46171</v>
      </c>
      <c r="C13" s="2" t="inlineStr">
        <is>
          <t xml:space="preserve">Lowes Food #235 Bolivia NC</t>
        </is>
      </c>
      <c r="D13" s="2" t="inlineStr">
        <is>
          <t xml:space="preserve">Grocery – Lowes Foods</t>
        </is>
      </c>
      <c r="E13" s="2" t="inlineStr">
        <is>
          <t xml:space="preserve">Groceries</t>
        </is>
      </c>
      <c r="F13" s="3">
        <v>125.08</v>
      </c>
    </row>
    <row r="14">
      <c r="A14" s="2" t="inlineStr">
        <is>
          <t xml:space="preserve">June 2026</t>
        </is>
      </c>
      <c r="B14" s="4">
        <v>46174</v>
      </c>
      <c r="C14" s="2" t="inlineStr">
        <is>
          <t xml:space="preserve">Apple.Com/Bill 866-712-7753</t>
        </is>
      </c>
      <c r="D14" s="2" t="inlineStr">
        <is>
          <t xml:space="preserve">Software &amp; Online Subscriptions</t>
        </is>
      </c>
      <c r="E14" s="2" t="inlineStr">
        <is>
          <t xml:space="preserve">Subscriptions</t>
        </is>
      </c>
      <c r="F14" s="3">
        <v>13.8</v>
      </c>
    </row>
    <row r="15">
      <c r="A15" s="2" t="inlineStr">
        <is>
          <t xml:space="preserve">June 2026</t>
        </is>
      </c>
      <c r="B15" s="4">
        <v>46174</v>
      </c>
      <c r="C15" s="2" t="inlineStr">
        <is>
          <t xml:space="preserve">DD *Doordash Bella</t>
        </is>
      </c>
      <c r="D15" s="2" t="inlineStr">
        <is>
          <t xml:space="preserve">Restaurants &amp; Takeout</t>
        </is>
      </c>
      <c r="E15" s="2" t="inlineStr">
        <is>
          <t xml:space="preserve">Food</t>
        </is>
      </c>
      <c r="F15" s="3">
        <v>62.84</v>
      </c>
    </row>
    <row r="16">
      <c r="A16" s="2" t="inlineStr">
        <is>
          <t xml:space="preserve">June 2026</t>
        </is>
      </c>
      <c r="B16" s="4">
        <v>46174</v>
      </c>
      <c r="C16" s="2" t="inlineStr">
        <is>
          <t xml:space="preserve">Ls Mad River 186-69321801 NC</t>
        </is>
      </c>
      <c r="D16" s="2" t="inlineStr">
        <is>
          <t xml:space="preserve">Retail – Local shops (Hippie Chick, Southport Spices, Mad River, Coastal Carolina)</t>
        </is>
      </c>
      <c r="E16" s="2" t="inlineStr">
        <is>
          <t xml:space="preserve">Retail</t>
        </is>
      </c>
      <c r="F16" s="3">
        <v>41.63</v>
      </c>
    </row>
    <row r="17">
      <c r="A17" s="2" t="inlineStr">
        <is>
          <t xml:space="preserve">June 2026</t>
        </is>
      </c>
      <c r="B17" s="4">
        <v>46174</v>
      </c>
      <c r="C17" s="2" t="inlineStr">
        <is>
          <t xml:space="preserve">Lil &amp; Johnssweetreat 2 Oak</t>
        </is>
      </c>
      <c r="D17" s="2" t="inlineStr">
        <is>
          <t xml:space="preserve">Restaurants &amp; Takeout</t>
        </is>
      </c>
      <c r="E17" s="2" t="inlineStr">
        <is>
          <t xml:space="preserve">Food</t>
        </is>
      </c>
      <c r="F17" s="3">
        <v>22.1</v>
      </c>
    </row>
    <row r="18">
      <c r="A18" s="2" t="inlineStr">
        <is>
          <t xml:space="preserve">June 2026</t>
        </is>
      </c>
      <c r="B18" s="4">
        <v>46174</v>
      </c>
      <c r="C18" s="2" t="inlineStr">
        <is>
          <t xml:space="preserve">DD *Doordash Sanfe</t>
        </is>
      </c>
      <c r="D18" s="2" t="inlineStr">
        <is>
          <t xml:space="preserve">Restaurants &amp; Takeout</t>
        </is>
      </c>
      <c r="E18" s="2" t="inlineStr">
        <is>
          <t xml:space="preserve">Food</t>
        </is>
      </c>
      <c r="F18" s="3">
        <v>79.54</v>
      </c>
    </row>
    <row r="19">
      <c r="A19" s="2" t="inlineStr">
        <is>
          <t xml:space="preserve">June 2026</t>
        </is>
      </c>
      <c r="B19" s="4">
        <v>46174</v>
      </c>
      <c r="C19" s="2" t="inlineStr">
        <is>
          <t xml:space="preserve">Bath &amp; Body Works 3088</t>
        </is>
      </c>
      <c r="D19" s="2" t="inlineStr">
        <is>
          <t xml:space="preserve">Retail – Bath &amp; Body Works</t>
        </is>
      </c>
      <c r="E19" s="2" t="inlineStr">
        <is>
          <t xml:space="preserve">Retail</t>
        </is>
      </c>
      <c r="F19" s="3">
        <v>51.31</v>
      </c>
    </row>
    <row r="20">
      <c r="A20" s="2" t="inlineStr">
        <is>
          <t xml:space="preserve">June 2026</t>
        </is>
      </c>
      <c r="B20" s="4">
        <v>46174</v>
      </c>
      <c r="C20" s="2" t="inlineStr">
        <is>
          <t xml:space="preserve">Ulta 1519 Wilmington NC</t>
        </is>
      </c>
      <c r="D20" s="2" t="inlineStr">
        <is>
          <t xml:space="preserve">Retail – Ulta Beauty</t>
        </is>
      </c>
      <c r="E20" s="2" t="inlineStr">
        <is>
          <t xml:space="preserve">Retail</t>
        </is>
      </c>
      <c r="F20" s="3">
        <v>97.35</v>
      </c>
    </row>
    <row r="21">
      <c r="A21" s="2" t="inlineStr">
        <is>
          <t xml:space="preserve">June 2026</t>
        </is>
      </c>
      <c r="B21" s="4">
        <v>46174</v>
      </c>
      <c r="C21" s="2" t="inlineStr">
        <is>
          <t xml:space="preserve">Lil &amp; Johnssweetreat 2 Oak</t>
        </is>
      </c>
      <c r="D21" s="2" t="inlineStr">
        <is>
          <t xml:space="preserve">Restaurants &amp; Takeout</t>
        </is>
      </c>
      <c r="E21" s="2" t="inlineStr">
        <is>
          <t xml:space="preserve">Food</t>
        </is>
      </c>
      <c r="F21" s="3">
        <v>9.82</v>
      </c>
    </row>
    <row r="22">
      <c r="A22" s="2" t="inlineStr">
        <is>
          <t xml:space="preserve">June 2026</t>
        </is>
      </c>
      <c r="B22" s="4">
        <v>46174</v>
      </c>
      <c r="C22" s="2" t="inlineStr">
        <is>
          <t xml:space="preserve">Lowes Foods #27 Southport NC</t>
        </is>
      </c>
      <c r="D22" s="2" t="inlineStr">
        <is>
          <t xml:space="preserve">Grocery – Lowes Foods</t>
        </is>
      </c>
      <c r="E22" s="2" t="inlineStr">
        <is>
          <t xml:space="preserve">Groceries</t>
        </is>
      </c>
      <c r="F22" s="3">
        <v>37.15</v>
      </c>
    </row>
    <row r="23">
      <c r="A23" s="2" t="inlineStr">
        <is>
          <t xml:space="preserve">June 2026</t>
        </is>
      </c>
      <c r="B23" s="4">
        <v>46174</v>
      </c>
      <c r="C23" s="2" t="inlineStr">
        <is>
          <t xml:space="preserve">Check #520</t>
        </is>
      </c>
      <c r="D23" s="2" t="inlineStr">
        <is>
          <t xml:space="preserve">Checks Written (payee not shown)</t>
        </is>
      </c>
      <c r="E23" s="2" t="inlineStr">
        <is>
          <t xml:space="preserve">Excluded</t>
        </is>
      </c>
      <c r="F23" s="3">
        <v>1800.0</v>
      </c>
    </row>
    <row r="24">
      <c r="A24" s="2" t="inlineStr">
        <is>
          <t xml:space="preserve">June 2026</t>
        </is>
      </c>
      <c r="B24" s="4">
        <v>46175</v>
      </c>
      <c r="C24" s="2" t="inlineStr">
        <is>
          <t xml:space="preserve">Par*Drift Coffee &amp; Wilmington</t>
        </is>
      </c>
      <c r="D24" s="2" t="inlineStr">
        <is>
          <t xml:space="preserve">Restaurants &amp; Takeout</t>
        </is>
      </c>
      <c r="E24" s="2" t="inlineStr">
        <is>
          <t xml:space="preserve">Food</t>
        </is>
      </c>
      <c r="F24" s="3">
        <v>29.61</v>
      </c>
    </row>
    <row r="25">
      <c r="A25" s="2" t="inlineStr">
        <is>
          <t xml:space="preserve">June 2026</t>
        </is>
      </c>
      <c r="B25" s="4">
        <v>46175</v>
      </c>
      <c r="C25" s="2" t="inlineStr">
        <is>
          <t xml:space="preserve">Starbucks 18295 Wilmington NC</t>
        </is>
      </c>
      <c r="D25" s="2" t="inlineStr">
        <is>
          <t xml:space="preserve">Restaurants &amp; Takeout</t>
        </is>
      </c>
      <c r="E25" s="2" t="inlineStr">
        <is>
          <t xml:space="preserve">Food</t>
        </is>
      </c>
      <c r="F25" s="3">
        <v>6.23</v>
      </c>
    </row>
    <row r="26">
      <c r="A26" s="2" t="inlineStr">
        <is>
          <t xml:space="preserve">June 2026</t>
        </is>
      </c>
      <c r="B26" s="4">
        <v>46176</v>
      </c>
      <c r="C26" s="2" t="inlineStr">
        <is>
          <t xml:space="preserve">McDonald's F16312 Sunset</t>
        </is>
      </c>
      <c r="D26" s="2" t="inlineStr">
        <is>
          <t xml:space="preserve">Restaurants &amp; Takeout</t>
        </is>
      </c>
      <c r="E26" s="2" t="inlineStr">
        <is>
          <t xml:space="preserve">Food</t>
        </is>
      </c>
      <c r="F26" s="3">
        <v>8.51</v>
      </c>
    </row>
    <row r="27">
      <c r="A27" s="2" t="inlineStr">
        <is>
          <t xml:space="preserve">June 2026</t>
        </is>
      </c>
      <c r="B27" s="4">
        <v>46176</v>
      </c>
      <c r="C27" s="2" t="inlineStr">
        <is>
          <t xml:space="preserve">Ctlp*Pepsi Bottlin Raleigh NC</t>
        </is>
      </c>
      <c r="D27" s="2" t="inlineStr">
        <is>
          <t xml:space="preserve">Restaurants &amp; Takeout</t>
        </is>
      </c>
      <c r="E27" s="2" t="inlineStr">
        <is>
          <t xml:space="preserve">Food</t>
        </is>
      </c>
      <c r="F27" s="3">
        <v>2.15</v>
      </c>
    </row>
    <row r="28">
      <c r="A28" s="2" t="inlineStr">
        <is>
          <t xml:space="preserve">June 2026</t>
        </is>
      </c>
      <c r="B28" s="4">
        <v>46176</v>
      </c>
      <c r="C28" s="2" t="inlineStr">
        <is>
          <t xml:space="preserve">Ctlp*Pepsi Bottlin Raleigh NC</t>
        </is>
      </c>
      <c r="D28" s="2" t="inlineStr">
        <is>
          <t xml:space="preserve">Restaurants &amp; Takeout</t>
        </is>
      </c>
      <c r="E28" s="2" t="inlineStr">
        <is>
          <t xml:space="preserve">Food</t>
        </is>
      </c>
      <c r="F28" s="3">
        <v>2.15</v>
      </c>
    </row>
    <row r="29">
      <c r="A29" s="2" t="inlineStr">
        <is>
          <t xml:space="preserve">June 2026</t>
        </is>
      </c>
      <c r="B29" s="4">
        <v>46177</v>
      </c>
      <c r="C29" s="2" t="inlineStr">
        <is>
          <t xml:space="preserve">Tst* The Grumpy MO Myrtle</t>
        </is>
      </c>
      <c r="D29" s="2" t="inlineStr">
        <is>
          <t xml:space="preserve">Restaurants &amp; Takeout</t>
        </is>
      </c>
      <c r="E29" s="2" t="inlineStr">
        <is>
          <t xml:space="preserve">Food</t>
        </is>
      </c>
      <c r="F29" s="3">
        <v>35.94</v>
      </c>
    </row>
    <row r="30">
      <c r="A30" s="2" t="inlineStr">
        <is>
          <t xml:space="preserve">June 2026</t>
        </is>
      </c>
      <c r="B30" s="4">
        <v>46177</v>
      </c>
      <c r="C30" s="2" t="inlineStr">
        <is>
          <t xml:space="preserve">McDonald's F35966 Supply NC</t>
        </is>
      </c>
      <c r="D30" s="2" t="inlineStr">
        <is>
          <t xml:space="preserve">Restaurants &amp; Takeout</t>
        </is>
      </c>
      <c r="E30" s="2" t="inlineStr">
        <is>
          <t xml:space="preserve">Food</t>
        </is>
      </c>
      <c r="F30" s="3">
        <v>7.55</v>
      </c>
    </row>
    <row r="31">
      <c r="A31" s="2" t="inlineStr">
        <is>
          <t xml:space="preserve">June 2026</t>
        </is>
      </c>
      <c r="B31" s="4">
        <v>46177</v>
      </c>
      <c r="C31" s="2" t="inlineStr">
        <is>
          <t xml:space="preserve">Lowes Foods #27 Southport NC</t>
        </is>
      </c>
      <c r="D31" s="2" t="inlineStr">
        <is>
          <t xml:space="preserve">Grocery – Lowes Foods</t>
        </is>
      </c>
      <c r="E31" s="2" t="inlineStr">
        <is>
          <t xml:space="preserve">Groceries</t>
        </is>
      </c>
      <c r="F31" s="3">
        <v>225.23</v>
      </c>
    </row>
    <row r="32">
      <c r="A32" s="2" t="inlineStr">
        <is>
          <t xml:space="preserve">June 2026</t>
        </is>
      </c>
      <c r="B32" s="4">
        <v>46178</v>
      </c>
      <c r="C32" s="2" t="inlineStr">
        <is>
          <t xml:space="preserve">DD *Doordash Bella</t>
        </is>
      </c>
      <c r="D32" s="2" t="inlineStr">
        <is>
          <t xml:space="preserve">Restaurants &amp; Takeout</t>
        </is>
      </c>
      <c r="E32" s="2" t="inlineStr">
        <is>
          <t xml:space="preserve">Food</t>
        </is>
      </c>
      <c r="F32" s="3">
        <v>67.98</v>
      </c>
    </row>
    <row r="33">
      <c r="A33" s="2" t="inlineStr">
        <is>
          <t xml:space="preserve">June 2026</t>
        </is>
      </c>
      <c r="B33" s="4">
        <v>46178</v>
      </c>
      <c r="C33" s="2" t="inlineStr">
        <is>
          <t xml:space="preserve">Frndlytv Inc*+ 1Ad</t>
        </is>
      </c>
      <c r="D33" s="2" t="inlineStr">
        <is>
          <t xml:space="preserve">Streaming – Frndly TV</t>
        </is>
      </c>
      <c r="E33" s="2" t="inlineStr">
        <is>
          <t xml:space="preserve">Streaming</t>
        </is>
      </c>
      <c r="F33" s="3">
        <v>22.41</v>
      </c>
    </row>
    <row r="34">
      <c r="A34" s="2" t="inlineStr">
        <is>
          <t xml:space="preserve">June 2026</t>
        </is>
      </c>
      <c r="B34" s="4">
        <v>46178</v>
      </c>
      <c r="C34" s="2" t="inlineStr">
        <is>
          <t xml:space="preserve">The Color Bar Hair Oak Island NC</t>
        </is>
      </c>
      <c r="D34" s="2" t="inlineStr">
        <is>
          <t xml:space="preserve">Haircuts – The Color Bar</t>
        </is>
      </c>
      <c r="E34" s="2" t="inlineStr">
        <is>
          <t xml:space="preserve">Personal</t>
        </is>
      </c>
      <c r="F34" s="3">
        <v>150.0</v>
      </c>
    </row>
    <row r="35">
      <c r="A35" s="2" t="inlineStr">
        <is>
          <t xml:space="preserve">June 2026</t>
        </is>
      </c>
      <c r="B35" s="4">
        <v>46178</v>
      </c>
      <c r="C35" s="2" t="inlineStr">
        <is>
          <t xml:space="preserve">Bp#1820398Han-D Bolivia NC</t>
        </is>
      </c>
      <c r="D35" s="2" t="inlineStr">
        <is>
          <t xml:space="preserve">Gas &amp; Convenience Stores</t>
        </is>
      </c>
      <c r="E35" s="2" t="inlineStr">
        <is>
          <t xml:space="preserve">Transportation</t>
        </is>
      </c>
      <c r="F35" s="3">
        <v>4.78</v>
      </c>
    </row>
    <row r="36">
      <c r="A36" s="2" t="inlineStr">
        <is>
          <t xml:space="preserve">June 2026</t>
        </is>
      </c>
      <c r="B36" s="4">
        <v>46178</v>
      </c>
      <c r="C36" s="2" t="inlineStr">
        <is>
          <t xml:space="preserve">Check #101</t>
        </is>
      </c>
      <c r="D36" s="2" t="inlineStr">
        <is>
          <t xml:space="preserve">Checks Written (payee not shown)</t>
        </is>
      </c>
      <c r="E36" s="2" t="inlineStr">
        <is>
          <t xml:space="preserve">Excluded</t>
        </is>
      </c>
      <c r="F36" s="3">
        <v>830.0</v>
      </c>
    </row>
    <row r="37">
      <c r="A37" s="2" t="inlineStr">
        <is>
          <t xml:space="preserve">June 2026</t>
        </is>
      </c>
      <c r="B37" s="4">
        <v>46181</v>
      </c>
      <c r="C37" s="2" t="inlineStr">
        <is>
          <t xml:space="preserve">Subway 69604 Bolivia NC</t>
        </is>
      </c>
      <c r="D37" s="2" t="inlineStr">
        <is>
          <t xml:space="preserve">Restaurants &amp; Takeout</t>
        </is>
      </c>
      <c r="E37" s="2" t="inlineStr">
        <is>
          <t xml:space="preserve">Food</t>
        </is>
      </c>
      <c r="F37" s="3">
        <v>12.9</v>
      </c>
    </row>
    <row r="38">
      <c r="A38" s="2" t="inlineStr">
        <is>
          <t xml:space="preserve">June 2026</t>
        </is>
      </c>
      <c r="B38" s="4">
        <v>46181</v>
      </c>
      <c r="C38" s="2" t="inlineStr">
        <is>
          <t xml:space="preserve">McDonald's F7702 Southport NC</t>
        </is>
      </c>
      <c r="D38" s="2" t="inlineStr">
        <is>
          <t xml:space="preserve">Restaurants &amp; Takeout</t>
        </is>
      </c>
      <c r="E38" s="2" t="inlineStr">
        <is>
          <t xml:space="preserve">Food</t>
        </is>
      </c>
      <c r="F38" s="3">
        <v>10.34</v>
      </c>
    </row>
    <row r="39">
      <c r="A39" s="2" t="inlineStr">
        <is>
          <t xml:space="preserve">June 2026</t>
        </is>
      </c>
      <c r="B39" s="4">
        <v>46181</v>
      </c>
      <c r="C39" s="2" t="inlineStr">
        <is>
          <t xml:space="preserve">Lowe's #682 Southport NC</t>
        </is>
      </c>
      <c r="D39" s="2" t="inlineStr">
        <is>
          <t xml:space="preserve">Retail – Lowe's (home improvement)</t>
        </is>
      </c>
      <c r="E39" s="2" t="inlineStr">
        <is>
          <t xml:space="preserve">Retail</t>
        </is>
      </c>
      <c r="F39" s="3">
        <v>27.67</v>
      </c>
    </row>
    <row r="40">
      <c r="A40" s="2" t="inlineStr">
        <is>
          <t xml:space="preserve">June 2026</t>
        </is>
      </c>
      <c r="B40" s="4">
        <v>46181</v>
      </c>
      <c r="C40" s="2" t="inlineStr">
        <is>
          <t xml:space="preserve">Wtw Ccc Tccc 2026Jun</t>
        </is>
      </c>
      <c r="D40" s="2" t="inlineStr">
        <is>
          <t xml:space="preserve">WTW Health Premium (reimbursed by Via Benefits)</t>
        </is>
      </c>
      <c r="E40" s="2" t="inlineStr">
        <is>
          <t xml:space="preserve">Excluded</t>
        </is>
      </c>
      <c r="F40" s="3">
        <v>2576.0</v>
      </c>
    </row>
    <row r="41">
      <c r="A41" s="2" t="inlineStr">
        <is>
          <t xml:space="preserve">June 2026</t>
        </is>
      </c>
      <c r="B41" s="4">
        <v>46181</v>
      </c>
      <c r="C41" s="2" t="inlineStr">
        <is>
          <t xml:space="preserve">Delta Dental of Delta Dent</t>
        </is>
      </c>
      <c r="D41" s="2" t="inlineStr">
        <is>
          <t xml:space="preserve">Dental Insurance – Delta Dental</t>
        </is>
      </c>
      <c r="E41" s="2" t="inlineStr">
        <is>
          <t xml:space="preserve">Insurance</t>
        </is>
      </c>
      <c r="F41" s="3">
        <v>69.36</v>
      </c>
    </row>
    <row r="42">
      <c r="A42" s="2" t="inlineStr">
        <is>
          <t xml:space="preserve">June 2026</t>
        </is>
      </c>
      <c r="B42" s="4">
        <v>46181</v>
      </c>
      <c r="C42" s="2" t="inlineStr">
        <is>
          <t xml:space="preserve">Banner Life Prem Debit 17180884647</t>
        </is>
      </c>
      <c r="D42" s="2" t="inlineStr">
        <is>
          <t xml:space="preserve">Banner Life Insurance</t>
        </is>
      </c>
      <c r="E42" s="2" t="inlineStr">
        <is>
          <t xml:space="preserve">Insurance</t>
        </is>
      </c>
      <c r="F42" s="3">
        <v>710.06</v>
      </c>
    </row>
    <row r="43">
      <c r="A43" s="2" t="inlineStr">
        <is>
          <t xml:space="preserve">June 2026</t>
        </is>
      </c>
      <c r="B43" s="4">
        <v>46182</v>
      </c>
      <c r="C43" s="2" t="inlineStr">
        <is>
          <t xml:space="preserve">Propertyrecs.Com</t>
        </is>
      </c>
      <c r="D43" s="2" t="inlineStr">
        <is>
          <t xml:space="preserve">Software &amp; Online Subscriptions</t>
        </is>
      </c>
      <c r="E43" s="2" t="inlineStr">
        <is>
          <t xml:space="preserve">Subscriptions</t>
        </is>
      </c>
      <c r="F43" s="3">
        <v>20.0</v>
      </c>
    </row>
    <row r="44">
      <c r="A44" s="2" t="inlineStr">
        <is>
          <t xml:space="preserve">June 2026</t>
        </is>
      </c>
      <c r="B44" s="4">
        <v>46182</v>
      </c>
      <c r="C44" s="2" t="inlineStr">
        <is>
          <t xml:space="preserve">365 Market H 888 4 Troy MI</t>
        </is>
      </c>
      <c r="D44" s="2" t="inlineStr">
        <is>
          <t xml:space="preserve">Restaurants &amp; Takeout</t>
        </is>
      </c>
      <c r="E44" s="2" t="inlineStr">
        <is>
          <t xml:space="preserve">Food</t>
        </is>
      </c>
      <c r="F44" s="3">
        <v>5.08</v>
      </c>
    </row>
    <row r="45">
      <c r="A45" s="2" t="inlineStr">
        <is>
          <t xml:space="preserve">June 2026</t>
        </is>
      </c>
      <c r="B45" s="4">
        <v>46182</v>
      </c>
      <c r="C45" s="2" t="inlineStr">
        <is>
          <t xml:space="preserve">DD *Doordash Seasi</t>
        </is>
      </c>
      <c r="D45" s="2" t="inlineStr">
        <is>
          <t xml:space="preserve">Restaurants &amp; Takeout</t>
        </is>
      </c>
      <c r="E45" s="2" t="inlineStr">
        <is>
          <t xml:space="preserve">Food</t>
        </is>
      </c>
      <c r="F45" s="3">
        <v>34.5</v>
      </c>
    </row>
    <row r="46">
      <c r="A46" s="2" t="inlineStr">
        <is>
          <t xml:space="preserve">June 2026</t>
        </is>
      </c>
      <c r="B46" s="4">
        <v>46182</v>
      </c>
      <c r="C46" s="2" t="inlineStr">
        <is>
          <t xml:space="preserve">Focus Broadband Clover.Com NC</t>
        </is>
      </c>
      <c r="D46" s="2" t="inlineStr">
        <is>
          <t xml:space="preserve">Internet – Focus Broadband</t>
        </is>
      </c>
      <c r="E46" s="2" t="inlineStr">
        <is>
          <t xml:space="preserve">Phone &amp; Internet</t>
        </is>
      </c>
      <c r="F46" s="3">
        <v>80.79</v>
      </c>
    </row>
    <row r="47">
      <c r="A47" s="2" t="inlineStr">
        <is>
          <t xml:space="preserve">June 2026</t>
        </is>
      </c>
      <c r="B47" s="4">
        <v>46182</v>
      </c>
      <c r="C47" s="2" t="inlineStr">
        <is>
          <t xml:space="preserve">NC Quick Pass 877-769-7277 NC</t>
        </is>
      </c>
      <c r="D47" s="2" t="inlineStr">
        <is>
          <t xml:space="preserve">Tolls &amp; Parking</t>
        </is>
      </c>
      <c r="E47" s="2" t="inlineStr">
        <is>
          <t xml:space="preserve">Transportation</t>
        </is>
      </c>
      <c r="F47" s="3">
        <v>5.84</v>
      </c>
    </row>
    <row r="48">
      <c r="A48" s="2" t="inlineStr">
        <is>
          <t xml:space="preserve">June 2026</t>
        </is>
      </c>
      <c r="B48" s="4">
        <v>46182</v>
      </c>
      <c r="C48" s="2" t="inlineStr">
        <is>
          <t xml:space="preserve">Hh 21 Winnabow NC</t>
        </is>
      </c>
      <c r="D48" s="2" t="inlineStr">
        <is>
          <t xml:space="preserve">Gas &amp; Convenience Stores</t>
        </is>
      </c>
      <c r="E48" s="2" t="inlineStr">
        <is>
          <t xml:space="preserve">Transportation</t>
        </is>
      </c>
      <c r="F48" s="3">
        <v>6.39</v>
      </c>
    </row>
    <row r="49">
      <c r="A49" s="2" t="inlineStr">
        <is>
          <t xml:space="preserve">June 2026</t>
        </is>
      </c>
      <c r="B49" s="4">
        <v>46182</v>
      </c>
      <c r="C49" s="2" t="inlineStr">
        <is>
          <t xml:space="preserve">St James Plantat Assn Dues</t>
        </is>
      </c>
      <c r="D49" s="2" t="inlineStr">
        <is>
          <t xml:space="preserve">St. James Plantation POA Dues</t>
        </is>
      </c>
      <c r="E49" s="2" t="inlineStr">
        <is>
          <t xml:space="preserve">Housing</t>
        </is>
      </c>
      <c r="F49" s="3">
        <v>692.95</v>
      </c>
    </row>
    <row r="50">
      <c r="A50" s="2" t="inlineStr">
        <is>
          <t xml:space="preserve">June 2026</t>
        </is>
      </c>
      <c r="B50" s="4">
        <v>46183</v>
      </c>
      <c r="C50" s="2" t="inlineStr">
        <is>
          <t xml:space="preserve">Opc*Brunswick CO U</t>
        </is>
      </c>
      <c r="D50" s="2" t="inlineStr">
        <is>
          <t xml:space="preserve">Utility – Water/Sewer (Brunswick County)</t>
        </is>
      </c>
      <c r="E50" s="2" t="inlineStr">
        <is>
          <t xml:space="preserve">Utilities</t>
        </is>
      </c>
      <c r="F50" s="3">
        <v>75.89</v>
      </c>
    </row>
    <row r="51">
      <c r="A51" s="2" t="inlineStr">
        <is>
          <t xml:space="preserve">June 2026</t>
        </is>
      </c>
      <c r="B51" s="4">
        <v>46183</v>
      </c>
      <c r="C51" s="2" t="inlineStr">
        <is>
          <t xml:space="preserve">Opc Utl*Service Fe</t>
        </is>
      </c>
      <c r="D51" s="2" t="inlineStr">
        <is>
          <t xml:space="preserve">Utility – Water/Sewer (Brunswick County)</t>
        </is>
      </c>
      <c r="E51" s="2" t="inlineStr">
        <is>
          <t xml:space="preserve">Utilities</t>
        </is>
      </c>
      <c r="F51" s="3">
        <v>2.95</v>
      </c>
    </row>
    <row r="52">
      <c r="A52" s="2" t="inlineStr">
        <is>
          <t xml:space="preserve">June 2026</t>
        </is>
      </c>
      <c r="B52" s="4">
        <v>46183</v>
      </c>
      <c r="C52" s="2" t="inlineStr">
        <is>
          <t xml:space="preserve">Ross Store #2284 Shallotte NC</t>
        </is>
      </c>
      <c r="D52" s="2" t="inlineStr">
        <is>
          <t xml:space="preserve">Retail – Ross</t>
        </is>
      </c>
      <c r="E52" s="2" t="inlineStr">
        <is>
          <t xml:space="preserve">Retail</t>
        </is>
      </c>
      <c r="F52" s="3">
        <v>48.03</v>
      </c>
    </row>
    <row r="53">
      <c r="A53" s="2" t="inlineStr">
        <is>
          <t xml:space="preserve">June 2026</t>
        </is>
      </c>
      <c r="B53" s="4">
        <v>46183</v>
      </c>
      <c r="C53" s="2" t="inlineStr">
        <is>
          <t xml:space="preserve">Ulta 1590 Shallotte NC</t>
        </is>
      </c>
      <c r="D53" s="2" t="inlineStr">
        <is>
          <t xml:space="preserve">Retail – Ulta Beauty</t>
        </is>
      </c>
      <c r="E53" s="2" t="inlineStr">
        <is>
          <t xml:space="preserve">Retail</t>
        </is>
      </c>
      <c r="F53" s="3">
        <v>37.36</v>
      </c>
    </row>
    <row r="54">
      <c r="A54" s="2" t="inlineStr">
        <is>
          <t xml:space="preserve">June 2026</t>
        </is>
      </c>
      <c r="B54" s="4">
        <v>46183</v>
      </c>
      <c r="C54" s="2" t="inlineStr">
        <is>
          <t xml:space="preserve">Wawa 6129 Garner NC</t>
        </is>
      </c>
      <c r="D54" s="2" t="inlineStr">
        <is>
          <t xml:space="preserve">Gas &amp; Convenience Stores</t>
        </is>
      </c>
      <c r="E54" s="2" t="inlineStr">
        <is>
          <t xml:space="preserve">Transportation</t>
        </is>
      </c>
      <c r="F54" s="3">
        <v>53.61</v>
      </c>
    </row>
    <row r="55">
      <c r="A55" s="2" t="inlineStr">
        <is>
          <t xml:space="preserve">June 2026</t>
        </is>
      </c>
      <c r="B55" s="4">
        <v>46184</v>
      </c>
      <c r="C55" s="2" t="inlineStr">
        <is>
          <t xml:space="preserve">Tst* Greek Fiesta Cary NC</t>
        </is>
      </c>
      <c r="D55" s="2" t="inlineStr">
        <is>
          <t xml:space="preserve">Restaurants &amp; Takeout</t>
        </is>
      </c>
      <c r="E55" s="2" t="inlineStr">
        <is>
          <t xml:space="preserve">Food</t>
        </is>
      </c>
      <c r="F55" s="3">
        <v>36.53</v>
      </c>
    </row>
    <row r="56">
      <c r="A56" s="2" t="inlineStr">
        <is>
          <t xml:space="preserve">June 2026</t>
        </is>
      </c>
      <c r="B56" s="4">
        <v>46184</v>
      </c>
      <c r="C56" s="2" t="inlineStr">
        <is>
          <t xml:space="preserve">Cold Stone Creamer</t>
        </is>
      </c>
      <c r="D56" s="2" t="inlineStr">
        <is>
          <t xml:space="preserve">Restaurants &amp; Takeout</t>
        </is>
      </c>
      <c r="E56" s="2" t="inlineStr">
        <is>
          <t xml:space="preserve">Food</t>
        </is>
      </c>
      <c r="F56" s="3">
        <v>15.14</v>
      </c>
    </row>
    <row r="57">
      <c r="A57" s="2" t="inlineStr">
        <is>
          <t xml:space="preserve">June 2026</t>
        </is>
      </c>
      <c r="B57" s="4">
        <v>46184</v>
      </c>
      <c r="C57" s="2" t="inlineStr">
        <is>
          <t xml:space="preserve">McDonald's F11779 Oxford NC</t>
        </is>
      </c>
      <c r="D57" s="2" t="inlineStr">
        <is>
          <t xml:space="preserve">Restaurants &amp; Takeout</t>
        </is>
      </c>
      <c r="E57" s="2" t="inlineStr">
        <is>
          <t xml:space="preserve">Food</t>
        </is>
      </c>
      <c r="F57" s="3">
        <v>11.07</v>
      </c>
    </row>
    <row r="58">
      <c r="A58" s="2" t="inlineStr">
        <is>
          <t xml:space="preserve">June 2026</t>
        </is>
      </c>
      <c r="B58" s="4">
        <v>46184</v>
      </c>
      <c r="C58" s="2" t="inlineStr">
        <is>
          <t xml:space="preserve">Lowes Food #235 Bolivia NC</t>
        </is>
      </c>
      <c r="D58" s="2" t="inlineStr">
        <is>
          <t xml:space="preserve">Grocery – Lowes Foods</t>
        </is>
      </c>
      <c r="E58" s="2" t="inlineStr">
        <is>
          <t xml:space="preserve">Groceries</t>
        </is>
      </c>
      <c r="F58" s="3">
        <v>53.35</v>
      </c>
    </row>
    <row r="59">
      <c r="A59" s="2" t="inlineStr">
        <is>
          <t xml:space="preserve">June 2026</t>
        </is>
      </c>
      <c r="B59" s="4">
        <v>46184</v>
      </c>
      <c r="C59" s="2" t="inlineStr">
        <is>
          <t xml:space="preserve">Zelle to Matt Dempsey</t>
        </is>
      </c>
      <c r="D59" s="2" t="inlineStr">
        <is>
          <t xml:space="preserve">Transfers to People (Venmo/Zelle)</t>
        </is>
      </c>
      <c r="E59" s="2" t="inlineStr">
        <is>
          <t xml:space="preserve">Transfers</t>
        </is>
      </c>
      <c r="F59" s="3">
        <v>75.0</v>
      </c>
    </row>
    <row r="60">
      <c r="A60" s="2" t="inlineStr">
        <is>
          <t xml:space="preserve">June 2026</t>
        </is>
      </c>
      <c r="B60" s="4">
        <v>46185</v>
      </c>
      <c r="C60" s="2" t="inlineStr">
        <is>
          <t xml:space="preserve">Wendys 1359 Creedmoor NC</t>
        </is>
      </c>
      <c r="D60" s="2" t="inlineStr">
        <is>
          <t xml:space="preserve">Restaurants &amp; Takeout</t>
        </is>
      </c>
      <c r="E60" s="2" t="inlineStr">
        <is>
          <t xml:space="preserve">Food</t>
        </is>
      </c>
      <c r="F60" s="3">
        <v>5.33</v>
      </c>
    </row>
    <row r="61">
      <c r="A61" s="2" t="inlineStr">
        <is>
          <t xml:space="preserve">June 2026</t>
        </is>
      </c>
      <c r="B61" s="4">
        <v>46185</v>
      </c>
      <c r="C61" s="2" t="inlineStr">
        <is>
          <t xml:space="preserve">Wendys 1359 Creedmoor NC</t>
        </is>
      </c>
      <c r="D61" s="2" t="inlineStr">
        <is>
          <t xml:space="preserve">Restaurants &amp; Takeout</t>
        </is>
      </c>
      <c r="E61" s="2" t="inlineStr">
        <is>
          <t xml:space="preserve">Food</t>
        </is>
      </c>
      <c r="F61" s="3">
        <v>3.41</v>
      </c>
    </row>
    <row r="62">
      <c r="A62" s="2" t="inlineStr">
        <is>
          <t xml:space="preserve">June 2026</t>
        </is>
      </c>
      <c r="B62" s="4">
        <v>46185</v>
      </c>
      <c r="C62" s="2" t="inlineStr">
        <is>
          <t xml:space="preserve">Wendys 1359 Creedmoor NC</t>
        </is>
      </c>
      <c r="D62" s="2" t="inlineStr">
        <is>
          <t xml:space="preserve">Restaurants &amp; Takeout</t>
        </is>
      </c>
      <c r="E62" s="2" t="inlineStr">
        <is>
          <t xml:space="preserve">Food</t>
        </is>
      </c>
      <c r="F62" s="3">
        <v>2.76</v>
      </c>
    </row>
    <row r="63">
      <c r="A63" s="2" t="inlineStr">
        <is>
          <t xml:space="preserve">June 2026</t>
        </is>
      </c>
      <c r="B63" s="4">
        <v>46185</v>
      </c>
      <c r="C63" s="2" t="inlineStr">
        <is>
          <t xml:space="preserve">Whataburger 1644 Garner NC</t>
        </is>
      </c>
      <c r="D63" s="2" t="inlineStr">
        <is>
          <t xml:space="preserve">Restaurants &amp; Takeout</t>
        </is>
      </c>
      <c r="E63" s="2" t="inlineStr">
        <is>
          <t xml:space="preserve">Food</t>
        </is>
      </c>
      <c r="F63" s="3">
        <v>22.45</v>
      </c>
    </row>
    <row r="64">
      <c r="A64" s="2" t="inlineStr">
        <is>
          <t xml:space="preserve">June 2026</t>
        </is>
      </c>
      <c r="B64" s="4">
        <v>46185</v>
      </c>
      <c r="C64" s="2" t="inlineStr">
        <is>
          <t xml:space="preserve">Jersey Mikes 3265 Oak Island NC</t>
        </is>
      </c>
      <c r="D64" s="2" t="inlineStr">
        <is>
          <t xml:space="preserve">Restaurants &amp; Takeout</t>
        </is>
      </c>
      <c r="E64" s="2" t="inlineStr">
        <is>
          <t xml:space="preserve">Food</t>
        </is>
      </c>
      <c r="F64" s="3">
        <v>22.94</v>
      </c>
    </row>
    <row r="65">
      <c r="A65" s="2" t="inlineStr">
        <is>
          <t xml:space="preserve">June 2026</t>
        </is>
      </c>
      <c r="B65" s="4">
        <v>46185</v>
      </c>
      <c r="C65" s="2" t="inlineStr">
        <is>
          <t xml:space="preserve">Lowes Foods #27 Southport NC</t>
        </is>
      </c>
      <c r="D65" s="2" t="inlineStr">
        <is>
          <t xml:space="preserve">Grocery – Lowes Foods</t>
        </is>
      </c>
      <c r="E65" s="2" t="inlineStr">
        <is>
          <t xml:space="preserve">Groceries</t>
        </is>
      </c>
      <c r="F65" s="3">
        <v>370.59</v>
      </c>
    </row>
    <row r="66">
      <c r="A66" s="2" t="inlineStr">
        <is>
          <t xml:space="preserve">June 2026</t>
        </is>
      </c>
      <c r="B66" s="4">
        <v>46188</v>
      </c>
      <c r="C66" s="2" t="inlineStr">
        <is>
          <t xml:space="preserve">Espn 800-7271800 NY</t>
        </is>
      </c>
      <c r="D66" s="2" t="inlineStr">
        <is>
          <t xml:space="preserve">Streaming – ESPN (Sept billed as Disney Plus)</t>
        </is>
      </c>
      <c r="E66" s="2" t="inlineStr">
        <is>
          <t xml:space="preserve">Streaming</t>
        </is>
      </c>
      <c r="F66" s="3">
        <v>13.87</v>
      </c>
    </row>
    <row r="67">
      <c r="A67" s="2" t="inlineStr">
        <is>
          <t xml:space="preserve">June 2026</t>
        </is>
      </c>
      <c r="B67" s="4">
        <v>46188</v>
      </c>
      <c r="C67" s="2" t="inlineStr">
        <is>
          <t xml:space="preserve">DD *Doordash Sanfe</t>
        </is>
      </c>
      <c r="D67" s="2" t="inlineStr">
        <is>
          <t xml:space="preserve">Restaurants &amp; Takeout</t>
        </is>
      </c>
      <c r="E67" s="2" t="inlineStr">
        <is>
          <t xml:space="preserve">Food</t>
        </is>
      </c>
      <c r="F67" s="3">
        <v>50.42</v>
      </c>
    </row>
    <row r="68">
      <c r="A68" s="2" t="inlineStr">
        <is>
          <t xml:space="preserve">June 2026</t>
        </is>
      </c>
      <c r="B68" s="4">
        <v>46188</v>
      </c>
      <c r="C68" s="2" t="inlineStr">
        <is>
          <t xml:space="preserve">Invoicesimple</t>
        </is>
      </c>
      <c r="D68" s="2" t="inlineStr">
        <is>
          <t xml:space="preserve">Software &amp; Online Subscriptions</t>
        </is>
      </c>
      <c r="E68" s="2" t="inlineStr">
        <is>
          <t xml:space="preserve">Subscriptions</t>
        </is>
      </c>
      <c r="F68" s="3">
        <v>4.99</v>
      </c>
    </row>
    <row r="69">
      <c r="A69" s="2" t="inlineStr">
        <is>
          <t xml:space="preserve">June 2026</t>
        </is>
      </c>
      <c r="B69" s="4">
        <v>46188</v>
      </c>
      <c r="C69" s="2" t="inlineStr">
        <is>
          <t xml:space="preserve">Dept Education Student Ln 0000</t>
        </is>
      </c>
      <c r="D69" s="2" t="inlineStr">
        <is>
          <t xml:space="preserve">Student Loan (Dept of Education)</t>
        </is>
      </c>
      <c r="E69" s="2" t="inlineStr">
        <is>
          <t xml:space="preserve">Student Loan</t>
        </is>
      </c>
      <c r="F69" s="3">
        <v>160.37</v>
      </c>
    </row>
    <row r="70">
      <c r="A70" s="2" t="inlineStr">
        <is>
          <t xml:space="preserve">June 2026</t>
        </is>
      </c>
      <c r="B70" s="4">
        <v>46189</v>
      </c>
      <c r="C70" s="2" t="inlineStr">
        <is>
          <t xml:space="preserve">Lowe's Foods #1 Oak Island NC</t>
        </is>
      </c>
      <c r="D70" s="2" t="inlineStr">
        <is>
          <t xml:space="preserve">Grocery – Lowes Foods</t>
        </is>
      </c>
      <c r="E70" s="2" t="inlineStr">
        <is>
          <t xml:space="preserve">Groceries</t>
        </is>
      </c>
      <c r="F70" s="3">
        <v>54.04</v>
      </c>
    </row>
    <row r="71">
      <c r="A71" s="2" t="inlineStr">
        <is>
          <t xml:space="preserve">June 2026</t>
        </is>
      </c>
      <c r="B71" s="4">
        <v>46189</v>
      </c>
      <c r="C71" s="2" t="inlineStr">
        <is>
          <t xml:space="preserve">Bp#2000867Rods Wadesboro</t>
        </is>
      </c>
      <c r="D71" s="2" t="inlineStr">
        <is>
          <t xml:space="preserve">Gas &amp; Convenience Stores</t>
        </is>
      </c>
      <c r="E71" s="2" t="inlineStr">
        <is>
          <t xml:space="preserve">Transportation</t>
        </is>
      </c>
      <c r="F71" s="3">
        <v>8.54</v>
      </c>
    </row>
    <row r="72">
      <c r="A72" s="2" t="inlineStr">
        <is>
          <t xml:space="preserve">June 2026</t>
        </is>
      </c>
      <c r="B72" s="4">
        <v>46189</v>
      </c>
      <c r="C72" s="2" t="inlineStr">
        <is>
          <t xml:space="preserve">A&amp;D Mortgage LLC Re Payment</t>
        </is>
      </c>
      <c r="D72" s="2" t="inlineStr">
        <is>
          <t xml:space="preserve">A&amp;D Mortgage</t>
        </is>
      </c>
      <c r="E72" s="2" t="inlineStr">
        <is>
          <t xml:space="preserve">Housing</t>
        </is>
      </c>
      <c r="F72" s="3">
        <v>3411.1</v>
      </c>
    </row>
    <row r="73">
      <c r="A73" s="2" t="inlineStr">
        <is>
          <t xml:space="preserve">June 2026</t>
        </is>
      </c>
      <c r="B73" s="4">
        <v>46190</v>
      </c>
      <c r="C73" s="2" t="inlineStr">
        <is>
          <t xml:space="preserve">Tst*Lucca Italian Shallotte NC</t>
        </is>
      </c>
      <c r="D73" s="2" t="inlineStr">
        <is>
          <t xml:space="preserve">Restaurants &amp; Takeout</t>
        </is>
      </c>
      <c r="E73" s="2" t="inlineStr">
        <is>
          <t xml:space="preserve">Food</t>
        </is>
      </c>
      <c r="F73" s="3">
        <v>77.05</v>
      </c>
    </row>
    <row r="74">
      <c r="A74" s="2" t="inlineStr">
        <is>
          <t xml:space="preserve">June 2026</t>
        </is>
      </c>
      <c r="B74" s="4">
        <v>46190</v>
      </c>
      <c r="C74" s="2" t="inlineStr">
        <is>
          <t xml:space="preserve">DD/Br #338554 Q35 Little River</t>
        </is>
      </c>
      <c r="D74" s="2" t="inlineStr">
        <is>
          <t xml:space="preserve">Restaurants &amp; Takeout</t>
        </is>
      </c>
      <c r="E74" s="2" t="inlineStr">
        <is>
          <t xml:space="preserve">Food</t>
        </is>
      </c>
      <c r="F74" s="3">
        <v>11.23</v>
      </c>
    </row>
    <row r="75">
      <c r="A75" s="2" t="inlineStr">
        <is>
          <t xml:space="preserve">June 2026</t>
        </is>
      </c>
      <c r="B75" s="4">
        <v>46190</v>
      </c>
      <c r="C75" s="2" t="inlineStr">
        <is>
          <t xml:space="preserve">Publix #1703 Oak Island NC</t>
        </is>
      </c>
      <c r="D75" s="2" t="inlineStr">
        <is>
          <t xml:space="preserve">Grocery – Publix</t>
        </is>
      </c>
      <c r="E75" s="2" t="inlineStr">
        <is>
          <t xml:space="preserve">Groceries</t>
        </is>
      </c>
      <c r="F75" s="3">
        <v>120.71</v>
      </c>
    </row>
    <row r="76">
      <c r="A76" s="2" t="inlineStr">
        <is>
          <t xml:space="preserve">June 2026</t>
        </is>
      </c>
      <c r="B76" s="4">
        <v>46190</v>
      </c>
      <c r="C76" s="2" t="inlineStr">
        <is>
          <t xml:space="preserve">Tst*Little Pigs Bb Myrtle Beach</t>
        </is>
      </c>
      <c r="D76" s="2" t="inlineStr">
        <is>
          <t xml:space="preserve">Restaurants &amp; Takeout</t>
        </is>
      </c>
      <c r="E76" s="2" t="inlineStr">
        <is>
          <t xml:space="preserve">Food</t>
        </is>
      </c>
      <c r="F76" s="3">
        <v>15.47</v>
      </c>
    </row>
    <row r="77">
      <c r="A77" s="2" t="inlineStr">
        <is>
          <t xml:space="preserve">June 2026</t>
        </is>
      </c>
      <c r="B77" s="4">
        <v>46190</v>
      </c>
      <c r="C77" s="2" t="inlineStr">
        <is>
          <t xml:space="preserve">Harris Teeter #0258 Charlotte</t>
        </is>
      </c>
      <c r="D77" s="2" t="inlineStr">
        <is>
          <t xml:space="preserve">Other Food Stores (Harris Teeter, Beach Pantry)</t>
        </is>
      </c>
      <c r="E77" s="2" t="inlineStr">
        <is>
          <t xml:space="preserve">Food</t>
        </is>
      </c>
      <c r="F77" s="3">
        <v>177.33</v>
      </c>
    </row>
    <row r="78">
      <c r="A78" s="2" t="inlineStr">
        <is>
          <t xml:space="preserve">June 2026</t>
        </is>
      </c>
      <c r="B78" s="4">
        <v>46190</v>
      </c>
      <c r="C78" s="2" t="inlineStr">
        <is>
          <t xml:space="preserve">Harris Teeter #2 8644 Uni</t>
        </is>
      </c>
      <c r="D78" s="2" t="inlineStr">
        <is>
          <t xml:space="preserve">Other Food Stores (Harris Teeter, Beach Pantry)</t>
        </is>
      </c>
      <c r="E78" s="2" t="inlineStr">
        <is>
          <t xml:space="preserve">Food</t>
        </is>
      </c>
      <c r="F78" s="3">
        <v>86.02</v>
      </c>
    </row>
    <row r="79">
      <c r="A79" s="2" t="inlineStr">
        <is>
          <t xml:space="preserve">June 2026</t>
        </is>
      </c>
      <c r="B79" s="4">
        <v>46190</v>
      </c>
      <c r="C79" s="2" t="inlineStr">
        <is>
          <t xml:space="preserve">+Lincoln Nationa EDI Pymnt</t>
        </is>
      </c>
      <c r="D79" s="2" t="inlineStr">
        <is>
          <t xml:space="preserve">Life Insurance (Lincoln National)</t>
        </is>
      </c>
      <c r="E79" s="2" t="inlineStr">
        <is>
          <t xml:space="preserve">Insurance</t>
        </is>
      </c>
      <c r="F79" s="3">
        <v>79.21</v>
      </c>
    </row>
    <row r="80">
      <c r="A80" s="2" t="inlineStr">
        <is>
          <t xml:space="preserve">June 2026</t>
        </is>
      </c>
      <c r="B80" s="4">
        <v>46191</v>
      </c>
      <c r="C80" s="2" t="inlineStr">
        <is>
          <t xml:space="preserve">Blaze Pizza #1196 Charlotte NC</t>
        </is>
      </c>
      <c r="D80" s="2" t="inlineStr">
        <is>
          <t xml:space="preserve">Restaurants &amp; Takeout</t>
        </is>
      </c>
      <c r="E80" s="2" t="inlineStr">
        <is>
          <t xml:space="preserve">Food</t>
        </is>
      </c>
      <c r="F80" s="3">
        <v>16.17</v>
      </c>
    </row>
    <row r="81">
      <c r="A81" s="2" t="inlineStr">
        <is>
          <t xml:space="preserve">June 2026</t>
        </is>
      </c>
      <c r="B81" s="4">
        <v>46191</v>
      </c>
      <c r="C81" s="2" t="inlineStr">
        <is>
          <t xml:space="preserve">Tst* Famous Toaste Charlotte NC</t>
        </is>
      </c>
      <c r="D81" s="2" t="inlineStr">
        <is>
          <t xml:space="preserve">Restaurants &amp; Takeout</t>
        </is>
      </c>
      <c r="E81" s="2" t="inlineStr">
        <is>
          <t xml:space="preserve">Food</t>
        </is>
      </c>
      <c r="F81" s="3">
        <v>43.94</v>
      </c>
    </row>
    <row r="82">
      <c r="A82" s="2" t="inlineStr">
        <is>
          <t xml:space="preserve">June 2026</t>
        </is>
      </c>
      <c r="B82" s="4">
        <v>46191</v>
      </c>
      <c r="C82" s="2" t="inlineStr">
        <is>
          <t xml:space="preserve">Adobe Inc</t>
        </is>
      </c>
      <c r="D82" s="2" t="inlineStr">
        <is>
          <t xml:space="preserve">Software &amp; Online Subscriptions</t>
        </is>
      </c>
      <c r="E82" s="2" t="inlineStr">
        <is>
          <t xml:space="preserve">Subscriptions</t>
        </is>
      </c>
      <c r="F82" s="3">
        <v>75.06</v>
      </c>
    </row>
    <row r="83">
      <c r="A83" s="2" t="inlineStr">
        <is>
          <t xml:space="preserve">June 2026</t>
        </is>
      </c>
      <c r="B83" s="4">
        <v>46191</v>
      </c>
      <c r="C83" s="2" t="inlineStr">
        <is>
          <t xml:space="preserve">Coastal Carolina C Southport NC</t>
        </is>
      </c>
      <c r="D83" s="2" t="inlineStr">
        <is>
          <t xml:space="preserve">Retail – Local shops (Hippie Chick, Southport Spices, Mad River, Coastal Carolina)</t>
        </is>
      </c>
      <c r="E83" s="2" t="inlineStr">
        <is>
          <t xml:space="preserve">Retail</t>
        </is>
      </c>
      <c r="F83" s="3">
        <v>23.7</v>
      </c>
    </row>
    <row r="84">
      <c r="A84" s="2" t="inlineStr">
        <is>
          <t xml:space="preserve">June 2026</t>
        </is>
      </c>
      <c r="B84" s="4">
        <v>46191</v>
      </c>
      <c r="C84" s="2" t="inlineStr">
        <is>
          <t xml:space="preserve">Ls Mad River 186-69321801 NC</t>
        </is>
      </c>
      <c r="D84" s="2" t="inlineStr">
        <is>
          <t xml:space="preserve">Retail – Local shops (Hippie Chick, Southport Spices, Mad River, Coastal Carolina)</t>
        </is>
      </c>
      <c r="E84" s="2" t="inlineStr">
        <is>
          <t xml:space="preserve">Retail</t>
        </is>
      </c>
      <c r="F84" s="3">
        <v>42.7</v>
      </c>
    </row>
    <row r="85">
      <c r="A85" s="2" t="inlineStr">
        <is>
          <t xml:space="preserve">June 2026</t>
        </is>
      </c>
      <c r="B85" s="4">
        <v>46191</v>
      </c>
      <c r="C85" s="2" t="inlineStr">
        <is>
          <t xml:space="preserve">Lowe's Foods #1 Oak Island NC</t>
        </is>
      </c>
      <c r="D85" s="2" t="inlineStr">
        <is>
          <t xml:space="preserve">Grocery – Lowes Foods</t>
        </is>
      </c>
      <c r="E85" s="2" t="inlineStr">
        <is>
          <t xml:space="preserve">Groceries</t>
        </is>
      </c>
      <c r="F85" s="3">
        <v>54.62</v>
      </c>
    </row>
    <row r="86">
      <c r="A86" s="2" t="inlineStr">
        <is>
          <t xml:space="preserve">June 2026</t>
        </is>
      </c>
      <c r="B86" s="4">
        <v>46191</v>
      </c>
      <c r="C86" s="2" t="inlineStr">
        <is>
          <t xml:space="preserve">Target T-1081 Charlotte NC</t>
        </is>
      </c>
      <c r="D86" s="2" t="inlineStr">
        <is>
          <t xml:space="preserve">Retail – Target</t>
        </is>
      </c>
      <c r="E86" s="2" t="inlineStr">
        <is>
          <t xml:space="preserve">Retail</t>
        </is>
      </c>
      <c r="F86" s="3">
        <v>58.98</v>
      </c>
    </row>
    <row r="87">
      <c r="A87" s="2" t="inlineStr">
        <is>
          <t xml:space="preserve">June 2026</t>
        </is>
      </c>
      <c r="B87" s="4">
        <v>46195</v>
      </c>
      <c r="C87" s="2" t="inlineStr">
        <is>
          <t xml:space="preserve">Tst* Boardwalk Bil Charlotte NC</t>
        </is>
      </c>
      <c r="D87" s="2" t="inlineStr">
        <is>
          <t xml:space="preserve">Restaurants &amp; Takeout</t>
        </is>
      </c>
      <c r="E87" s="2" t="inlineStr">
        <is>
          <t xml:space="preserve">Food</t>
        </is>
      </c>
      <c r="F87" s="3">
        <v>21.12</v>
      </c>
    </row>
    <row r="88">
      <c r="A88" s="2" t="inlineStr">
        <is>
          <t xml:space="preserve">June 2026</t>
        </is>
      </c>
      <c r="B88" s="4">
        <v>46195</v>
      </c>
      <c r="C88" s="2" t="inlineStr">
        <is>
          <t xml:space="preserve">Tst* Boardwalk Bil Charlotte NC</t>
        </is>
      </c>
      <c r="D88" s="2" t="inlineStr">
        <is>
          <t xml:space="preserve">Restaurants &amp; Takeout</t>
        </is>
      </c>
      <c r="E88" s="2" t="inlineStr">
        <is>
          <t xml:space="preserve">Food</t>
        </is>
      </c>
      <c r="F88" s="3">
        <v>71.4</v>
      </c>
    </row>
    <row r="89">
      <c r="A89" s="2" t="inlineStr">
        <is>
          <t xml:space="preserve">June 2026</t>
        </is>
      </c>
      <c r="B89" s="4">
        <v>46195</v>
      </c>
      <c r="C89" s="2" t="inlineStr">
        <is>
          <t xml:space="preserve">Hilton Charlotte U Charlotte NC</t>
        </is>
      </c>
      <c r="D89" s="2" t="inlineStr">
        <is>
          <t xml:space="preserve">Travel (Lyft, Hotel)</t>
        </is>
      </c>
      <c r="E89" s="2" t="inlineStr">
        <is>
          <t xml:space="preserve">Travel</t>
        </is>
      </c>
      <c r="F89" s="3">
        <v>13.09</v>
      </c>
    </row>
    <row r="90">
      <c r="A90" s="2" t="inlineStr">
        <is>
          <t xml:space="preserve">June 2026</t>
        </is>
      </c>
      <c r="B90" s="4">
        <v>46195</v>
      </c>
      <c r="C90" s="2" t="inlineStr">
        <is>
          <t xml:space="preserve">Hilton Charlotte U Charlotte NC</t>
        </is>
      </c>
      <c r="D90" s="2" t="inlineStr">
        <is>
          <t xml:space="preserve">Travel (Lyft, Hotel)</t>
        </is>
      </c>
      <c r="E90" s="2" t="inlineStr">
        <is>
          <t xml:space="preserve">Travel</t>
        </is>
      </c>
      <c r="F90" s="3">
        <v>15.94</v>
      </c>
    </row>
    <row r="91">
      <c r="A91" s="2" t="inlineStr">
        <is>
          <t xml:space="preserve">June 2026</t>
        </is>
      </c>
      <c r="B91" s="4">
        <v>46195</v>
      </c>
      <c r="C91" s="2" t="inlineStr">
        <is>
          <t xml:space="preserve">Chipotle 3125 Charlotte NC</t>
        </is>
      </c>
      <c r="D91" s="2" t="inlineStr">
        <is>
          <t xml:space="preserve">Restaurants &amp; Takeout</t>
        </is>
      </c>
      <c r="E91" s="2" t="inlineStr">
        <is>
          <t xml:space="preserve">Food</t>
        </is>
      </c>
      <c r="F91" s="3">
        <v>27.17</v>
      </c>
    </row>
    <row r="92">
      <c r="A92" s="2" t="inlineStr">
        <is>
          <t xml:space="preserve">June 2026</t>
        </is>
      </c>
      <c r="B92" s="4">
        <v>46195</v>
      </c>
      <c r="C92" s="2" t="inlineStr">
        <is>
          <t xml:space="preserve">Lyft *Standard 0 Lyft.Com CA</t>
        </is>
      </c>
      <c r="D92" s="2" t="inlineStr">
        <is>
          <t xml:space="preserve">Travel (Lyft, Hotel)</t>
        </is>
      </c>
      <c r="E92" s="2" t="inlineStr">
        <is>
          <t xml:space="preserve">Travel</t>
        </is>
      </c>
      <c r="F92" s="3">
        <v>14.99</v>
      </c>
    </row>
    <row r="93">
      <c r="A93" s="2" t="inlineStr">
        <is>
          <t xml:space="preserve">June 2026</t>
        </is>
      </c>
      <c r="B93" s="4">
        <v>46195</v>
      </c>
      <c r="C93" s="2" t="inlineStr">
        <is>
          <t xml:space="preserve">Tst*Johnny Dollars Charlotte NC</t>
        </is>
      </c>
      <c r="D93" s="2" t="inlineStr">
        <is>
          <t xml:space="preserve">Restaurants &amp; Takeout</t>
        </is>
      </c>
      <c r="E93" s="2" t="inlineStr">
        <is>
          <t xml:space="preserve">Food</t>
        </is>
      </c>
      <c r="F93" s="3">
        <v>22.99</v>
      </c>
    </row>
    <row r="94">
      <c r="A94" s="2" t="inlineStr">
        <is>
          <t xml:space="preserve">June 2026</t>
        </is>
      </c>
      <c r="B94" s="4">
        <v>46195</v>
      </c>
      <c r="C94" s="2" t="inlineStr">
        <is>
          <t xml:space="preserve">Tst*The Brickyard Charlotte NC</t>
        </is>
      </c>
      <c r="D94" s="2" t="inlineStr">
        <is>
          <t xml:space="preserve">Restaurants &amp; Takeout</t>
        </is>
      </c>
      <c r="E94" s="2" t="inlineStr">
        <is>
          <t xml:space="preserve">Food</t>
        </is>
      </c>
      <c r="F94" s="3">
        <v>9.24</v>
      </c>
    </row>
    <row r="95">
      <c r="A95" s="2" t="inlineStr">
        <is>
          <t xml:space="preserve">June 2026</t>
        </is>
      </c>
      <c r="B95" s="4">
        <v>46195</v>
      </c>
      <c r="C95" s="2" t="inlineStr">
        <is>
          <t xml:space="preserve">Tst*The Brickyard Charlotte NC</t>
        </is>
      </c>
      <c r="D95" s="2" t="inlineStr">
        <is>
          <t xml:space="preserve">Restaurants &amp; Takeout</t>
        </is>
      </c>
      <c r="E95" s="2" t="inlineStr">
        <is>
          <t xml:space="preserve">Food</t>
        </is>
      </c>
      <c r="F95" s="3">
        <v>9.24</v>
      </c>
    </row>
    <row r="96">
      <c r="A96" s="2" t="inlineStr">
        <is>
          <t xml:space="preserve">June 2026</t>
        </is>
      </c>
      <c r="B96" s="4">
        <v>46195</v>
      </c>
      <c r="C96" s="2" t="inlineStr">
        <is>
          <t xml:space="preserve">Tst*The Brickyard Charlotte NC</t>
        </is>
      </c>
      <c r="D96" s="2" t="inlineStr">
        <is>
          <t xml:space="preserve">Restaurants &amp; Takeout</t>
        </is>
      </c>
      <c r="E96" s="2" t="inlineStr">
        <is>
          <t xml:space="preserve">Food</t>
        </is>
      </c>
      <c r="F96" s="3">
        <v>9.24</v>
      </c>
    </row>
    <row r="97">
      <c r="A97" s="2" t="inlineStr">
        <is>
          <t xml:space="preserve">June 2026</t>
        </is>
      </c>
      <c r="B97" s="4">
        <v>46195</v>
      </c>
      <c r="C97" s="2" t="inlineStr">
        <is>
          <t xml:space="preserve">Tst*The Brickyard Charlotte NC</t>
        </is>
      </c>
      <c r="D97" s="2" t="inlineStr">
        <is>
          <t xml:space="preserve">Restaurants &amp; Takeout</t>
        </is>
      </c>
      <c r="E97" s="2" t="inlineStr">
        <is>
          <t xml:space="preserve">Food</t>
        </is>
      </c>
      <c r="F97" s="3">
        <v>9.24</v>
      </c>
    </row>
    <row r="98">
      <c r="A98" s="2" t="inlineStr">
        <is>
          <t xml:space="preserve">June 2026</t>
        </is>
      </c>
      <c r="B98" s="4">
        <v>46195</v>
      </c>
      <c r="C98" s="2" t="inlineStr">
        <is>
          <t xml:space="preserve">Tst*The Brickyard Charlotte NC</t>
        </is>
      </c>
      <c r="D98" s="2" t="inlineStr">
        <is>
          <t xml:space="preserve">Restaurants &amp; Takeout</t>
        </is>
      </c>
      <c r="E98" s="2" t="inlineStr">
        <is>
          <t xml:space="preserve">Food</t>
        </is>
      </c>
      <c r="F98" s="3">
        <v>8.59</v>
      </c>
    </row>
    <row r="99">
      <c r="A99" s="2" t="inlineStr">
        <is>
          <t xml:space="preserve">June 2026</t>
        </is>
      </c>
      <c r="B99" s="4">
        <v>46195</v>
      </c>
      <c r="C99" s="2" t="inlineStr">
        <is>
          <t xml:space="preserve">Tst*The Brickyard Charlotte NC</t>
        </is>
      </c>
      <c r="D99" s="2" t="inlineStr">
        <is>
          <t xml:space="preserve">Restaurants &amp; Takeout</t>
        </is>
      </c>
      <c r="E99" s="2" t="inlineStr">
        <is>
          <t xml:space="preserve">Food</t>
        </is>
      </c>
      <c r="F99" s="3">
        <v>9.24</v>
      </c>
    </row>
    <row r="100">
      <c r="A100" s="2" t="inlineStr">
        <is>
          <t xml:space="preserve">June 2026</t>
        </is>
      </c>
      <c r="B100" s="4">
        <v>46195</v>
      </c>
      <c r="C100" s="2" t="inlineStr">
        <is>
          <t xml:space="preserve">Tst*The Brickyard Charlotte NC</t>
        </is>
      </c>
      <c r="D100" s="2" t="inlineStr">
        <is>
          <t xml:space="preserve">Restaurants &amp; Takeout</t>
        </is>
      </c>
      <c r="E100" s="2" t="inlineStr">
        <is>
          <t xml:space="preserve">Food</t>
        </is>
      </c>
      <c r="F100" s="3">
        <v>8.91</v>
      </c>
    </row>
    <row r="101">
      <c r="A101" s="2" t="inlineStr">
        <is>
          <t xml:space="preserve">June 2026</t>
        </is>
      </c>
      <c r="B101" s="4">
        <v>46195</v>
      </c>
      <c r="C101" s="2" t="inlineStr">
        <is>
          <t xml:space="preserve">Tst*The Brickyard Charlotte NC</t>
        </is>
      </c>
      <c r="D101" s="2" t="inlineStr">
        <is>
          <t xml:space="preserve">Restaurants &amp; Takeout</t>
        </is>
      </c>
      <c r="E101" s="2" t="inlineStr">
        <is>
          <t xml:space="preserve">Food</t>
        </is>
      </c>
      <c r="F101" s="3">
        <v>9.24</v>
      </c>
    </row>
    <row r="102">
      <c r="A102" s="2" t="inlineStr">
        <is>
          <t xml:space="preserve">June 2026</t>
        </is>
      </c>
      <c r="B102" s="4">
        <v>46195</v>
      </c>
      <c r="C102" s="2" t="inlineStr">
        <is>
          <t xml:space="preserve">Lyft *Priority 0 Lyft.Com CA</t>
        </is>
      </c>
      <c r="D102" s="2" t="inlineStr">
        <is>
          <t xml:space="preserve">Travel (Lyft, Hotel)</t>
        </is>
      </c>
      <c r="E102" s="2" t="inlineStr">
        <is>
          <t xml:space="preserve">Travel</t>
        </is>
      </c>
      <c r="F102" s="3">
        <v>15.99</v>
      </c>
    </row>
    <row r="103">
      <c r="A103" s="2" t="inlineStr">
        <is>
          <t xml:space="preserve">June 2026</t>
        </is>
      </c>
      <c r="B103" s="4">
        <v>46195</v>
      </c>
      <c r="C103" s="2" t="inlineStr">
        <is>
          <t xml:space="preserve">Lyft *Standard 0 Lyft.Com CA</t>
        </is>
      </c>
      <c r="D103" s="2" t="inlineStr">
        <is>
          <t xml:space="preserve">Travel (Lyft, Hotel)</t>
        </is>
      </c>
      <c r="E103" s="2" t="inlineStr">
        <is>
          <t xml:space="preserve">Travel</t>
        </is>
      </c>
      <c r="F103" s="3">
        <v>36.96</v>
      </c>
    </row>
    <row r="104">
      <c r="A104" s="2" t="inlineStr">
        <is>
          <t xml:space="preserve">June 2026</t>
        </is>
      </c>
      <c r="B104" s="4">
        <v>46195</v>
      </c>
      <c r="C104" s="2" t="inlineStr">
        <is>
          <t xml:space="preserve">Hilton Charlotte U Charlotte NC</t>
        </is>
      </c>
      <c r="D104" s="2" t="inlineStr">
        <is>
          <t xml:space="preserve">Travel (Lyft, Hotel)</t>
        </is>
      </c>
      <c r="E104" s="2" t="inlineStr">
        <is>
          <t xml:space="preserve">Travel</t>
        </is>
      </c>
      <c r="F104" s="3">
        <v>5.68</v>
      </c>
    </row>
    <row r="105">
      <c r="A105" s="2" t="inlineStr">
        <is>
          <t xml:space="preserve">June 2026</t>
        </is>
      </c>
      <c r="B105" s="4">
        <v>46195</v>
      </c>
      <c r="C105" s="2" t="inlineStr">
        <is>
          <t xml:space="preserve">Allstate *Paymn</t>
        </is>
      </c>
      <c r="D105" s="2" t="inlineStr">
        <is>
          <t xml:space="preserve">Allstate Insurance</t>
        </is>
      </c>
      <c r="E105" s="2" t="inlineStr">
        <is>
          <t xml:space="preserve">Insurance</t>
        </is>
      </c>
      <c r="F105" s="3">
        <v>360.42</v>
      </c>
    </row>
    <row r="106">
      <c r="A106" s="2" t="inlineStr">
        <is>
          <t xml:space="preserve">June 2026</t>
        </is>
      </c>
      <c r="B106" s="4">
        <v>46195</v>
      </c>
      <c r="C106" s="2" t="inlineStr">
        <is>
          <t xml:space="preserve">McDonald's F5192 Wadesboro</t>
        </is>
      </c>
      <c r="D106" s="2" t="inlineStr">
        <is>
          <t xml:space="preserve">Restaurants &amp; Takeout</t>
        </is>
      </c>
      <c r="E106" s="2" t="inlineStr">
        <is>
          <t xml:space="preserve">Food</t>
        </is>
      </c>
      <c r="F106" s="3">
        <v>8.66</v>
      </c>
    </row>
    <row r="107">
      <c r="A107" s="2" t="inlineStr">
        <is>
          <t xml:space="preserve">June 2026</t>
        </is>
      </c>
      <c r="B107" s="4">
        <v>46195</v>
      </c>
      <c r="C107" s="2" t="inlineStr">
        <is>
          <t xml:space="preserve">Anson Mart Citgo Wadesboro</t>
        </is>
      </c>
      <c r="D107" s="2" t="inlineStr">
        <is>
          <t xml:space="preserve">Gas &amp; Convenience Stores</t>
        </is>
      </c>
      <c r="E107" s="2" t="inlineStr">
        <is>
          <t xml:space="preserve">Transportation</t>
        </is>
      </c>
      <c r="F107" s="3">
        <v>30.0</v>
      </c>
    </row>
    <row r="108">
      <c r="A108" s="2" t="inlineStr">
        <is>
          <t xml:space="preserve">June 2026</t>
        </is>
      </c>
      <c r="B108" s="4">
        <v>46195</v>
      </c>
      <c r="C108" s="2" t="inlineStr">
        <is>
          <t xml:space="preserve">Bp#6458525Sam's Pi Bolton NC</t>
        </is>
      </c>
      <c r="D108" s="2" t="inlineStr">
        <is>
          <t xml:space="preserve">Gas &amp; Convenience Stores</t>
        </is>
      </c>
      <c r="E108" s="2" t="inlineStr">
        <is>
          <t xml:space="preserve">Transportation</t>
        </is>
      </c>
      <c r="F108" s="3">
        <v>5.58</v>
      </c>
    </row>
    <row r="109">
      <c r="A109" s="2" t="inlineStr">
        <is>
          <t xml:space="preserve">June 2026</t>
        </is>
      </c>
      <c r="B109" s="4">
        <v>46195</v>
      </c>
      <c r="C109" s="2" t="inlineStr">
        <is>
          <t xml:space="preserve">Apple.Com/Bill 866-712-7753</t>
        </is>
      </c>
      <c r="D109" s="2" t="inlineStr">
        <is>
          <t xml:space="preserve">Software &amp; Online Subscriptions</t>
        </is>
      </c>
      <c r="E109" s="2" t="inlineStr">
        <is>
          <t xml:space="preserve">Subscriptions</t>
        </is>
      </c>
      <c r="F109" s="3">
        <v>4.88</v>
      </c>
    </row>
    <row r="110">
      <c r="A110" s="2" t="inlineStr">
        <is>
          <t xml:space="preserve">June 2026</t>
        </is>
      </c>
      <c r="B110" s="4">
        <v>46195</v>
      </c>
      <c r="C110" s="2" t="inlineStr">
        <is>
          <t xml:space="preserve">Tst*Lucca Italian Shallotte NC</t>
        </is>
      </c>
      <c r="D110" s="2" t="inlineStr">
        <is>
          <t xml:space="preserve">Restaurants &amp; Takeout</t>
        </is>
      </c>
      <c r="E110" s="2" t="inlineStr">
        <is>
          <t xml:space="preserve">Food</t>
        </is>
      </c>
      <c r="F110" s="3">
        <v>20.94</v>
      </c>
    </row>
    <row r="111">
      <c r="A111" s="2" t="inlineStr">
        <is>
          <t xml:space="preserve">June 2026</t>
        </is>
      </c>
      <c r="B111" s="4">
        <v>46195</v>
      </c>
      <c r="C111" s="2" t="inlineStr">
        <is>
          <t xml:space="preserve">Roku for Peacock T</t>
        </is>
      </c>
      <c r="D111" s="2" t="inlineStr">
        <is>
          <t xml:space="preserve">Streaming – Peacock (via Roku)</t>
        </is>
      </c>
      <c r="E111" s="2" t="inlineStr">
        <is>
          <t xml:space="preserve">Streaming</t>
        </is>
      </c>
      <c r="F111" s="3">
        <v>11.73</v>
      </c>
    </row>
    <row r="112">
      <c r="A112" s="2" t="inlineStr">
        <is>
          <t xml:space="preserve">June 2026</t>
        </is>
      </c>
      <c r="B112" s="4">
        <v>46195</v>
      </c>
      <c r="C112" s="2" t="inlineStr">
        <is>
          <t xml:space="preserve">Cvs/Pharmacy #0738 South Port</t>
        </is>
      </c>
      <c r="D112" s="2" t="inlineStr">
        <is>
          <t xml:space="preserve">CVS Pharmacy</t>
        </is>
      </c>
      <c r="E112" s="2" t="inlineStr">
        <is>
          <t xml:space="preserve">Health</t>
        </is>
      </c>
      <c r="F112" s="3">
        <v>124.87</v>
      </c>
    </row>
    <row r="113">
      <c r="A113" s="2" t="inlineStr">
        <is>
          <t xml:space="preserve">June 2026</t>
        </is>
      </c>
      <c r="B113" s="4">
        <v>46195</v>
      </c>
      <c r="C113" s="2" t="inlineStr">
        <is>
          <t xml:space="preserve">Help.Hbomax.Com</t>
        </is>
      </c>
      <c r="D113" s="2" t="inlineStr">
        <is>
          <t xml:space="preserve">Streaming – HBO Max</t>
        </is>
      </c>
      <c r="E113" s="2" t="inlineStr">
        <is>
          <t xml:space="preserve">Streaming</t>
        </is>
      </c>
      <c r="F113" s="3">
        <v>19.74</v>
      </c>
    </row>
    <row r="114">
      <c r="A114" s="2" t="inlineStr">
        <is>
          <t xml:space="preserve">June 2026</t>
        </is>
      </c>
      <c r="B114" s="4">
        <v>46195</v>
      </c>
      <c r="C114" s="2" t="inlineStr">
        <is>
          <t xml:space="preserve">Cvs/Pharmacy #07382</t>
        </is>
      </c>
      <c r="D114" s="2" t="inlineStr">
        <is>
          <t xml:space="preserve">CVS Pharmacy</t>
        </is>
      </c>
      <c r="E114" s="2" t="inlineStr">
        <is>
          <t xml:space="preserve">Health</t>
        </is>
      </c>
      <c r="F114" s="3">
        <v>35.2</v>
      </c>
    </row>
    <row r="115">
      <c r="A115" s="2" t="inlineStr">
        <is>
          <t xml:space="preserve">June 2026</t>
        </is>
      </c>
      <c r="B115" s="4">
        <v>46195</v>
      </c>
      <c r="C115" s="2" t="inlineStr">
        <is>
          <t xml:space="preserve">Lowes Foods #27 Southport NC</t>
        </is>
      </c>
      <c r="D115" s="2" t="inlineStr">
        <is>
          <t xml:space="preserve">Grocery – Lowes Foods</t>
        </is>
      </c>
      <c r="E115" s="2" t="inlineStr">
        <is>
          <t xml:space="preserve">Groceries</t>
        </is>
      </c>
      <c r="F115" s="3">
        <v>225.63</v>
      </c>
    </row>
    <row r="116">
      <c r="A116" s="2" t="inlineStr">
        <is>
          <t xml:space="preserve">June 2026</t>
        </is>
      </c>
      <c r="B116" s="4">
        <v>46195</v>
      </c>
      <c r="C116" s="2" t="inlineStr">
        <is>
          <t xml:space="preserve">St James 7134 Pap</t>
        </is>
      </c>
      <c r="D116" s="2" t="inlineStr">
        <is>
          <t xml:space="preserve">St. James Membership (Club)</t>
        </is>
      </c>
      <c r="E116" s="2" t="inlineStr">
        <is>
          <t xml:space="preserve">Housing</t>
        </is>
      </c>
      <c r="F116" s="3">
        <v>1591.78</v>
      </c>
    </row>
    <row r="117">
      <c r="A117" s="2" t="inlineStr">
        <is>
          <t xml:space="preserve">June 2026</t>
        </is>
      </c>
      <c r="B117" s="4">
        <v>46195</v>
      </c>
      <c r="C117" s="2" t="inlineStr">
        <is>
          <t xml:space="preserve">Verizon Wireless Payments</t>
        </is>
      </c>
      <c r="D117" s="2" t="inlineStr">
        <is>
          <t xml:space="preserve">Verizon Wireless</t>
        </is>
      </c>
      <c r="E117" s="2" t="inlineStr">
        <is>
          <t xml:space="preserve">Phone &amp; Internet</t>
        </is>
      </c>
      <c r="F117" s="3">
        <v>294.57</v>
      </c>
    </row>
    <row r="118">
      <c r="A118" s="2" t="inlineStr">
        <is>
          <t xml:space="preserve">June 2026</t>
        </is>
      </c>
      <c r="B118" s="4">
        <v>46196</v>
      </c>
      <c r="C118" s="2" t="inlineStr">
        <is>
          <t xml:space="preserve">Ww Int'L-Digital</t>
        </is>
      </c>
      <c r="D118" s="2" t="inlineStr">
        <is>
          <t xml:space="preserve">Software &amp; Online Subscriptions</t>
        </is>
      </c>
      <c r="E118" s="2" t="inlineStr">
        <is>
          <t xml:space="preserve">Subscriptions</t>
        </is>
      </c>
      <c r="F118" s="3">
        <v>23.0</v>
      </c>
    </row>
    <row r="119">
      <c r="A119" s="2" t="inlineStr">
        <is>
          <t xml:space="preserve">June 2026</t>
        </is>
      </c>
      <c r="B119" s="4">
        <v>46196</v>
      </c>
      <c r="C119" s="2" t="inlineStr">
        <is>
          <t xml:space="preserve">Autobks*Nextgen LA</t>
        </is>
      </c>
      <c r="D119" s="2" t="inlineStr">
        <is>
          <t xml:space="preserve">Yard Company (NextGen)</t>
        </is>
      </c>
      <c r="E119" s="2" t="inlineStr">
        <is>
          <t xml:space="preserve">Home</t>
        </is>
      </c>
      <c r="F119" s="3">
        <v>60.0</v>
      </c>
    </row>
    <row r="120">
      <c r="A120" s="2" t="inlineStr">
        <is>
          <t xml:space="preserve">June 2026</t>
        </is>
      </c>
      <c r="B120" s="4">
        <v>46197</v>
      </c>
      <c r="C120" s="2" t="inlineStr">
        <is>
          <t xml:space="preserve">The Color Bar Hair Oak Island NC</t>
        </is>
      </c>
      <c r="D120" s="2" t="inlineStr">
        <is>
          <t xml:space="preserve">Haircuts – The Color Bar</t>
        </is>
      </c>
      <c r="E120" s="2" t="inlineStr">
        <is>
          <t xml:space="preserve">Personal</t>
        </is>
      </c>
      <c r="F120" s="3">
        <v>32.5</v>
      </c>
    </row>
    <row r="121">
      <c r="A121" s="2" t="inlineStr">
        <is>
          <t xml:space="preserve">July 2026</t>
        </is>
      </c>
      <c r="B121" s="4">
        <v>46198</v>
      </c>
      <c r="C121" s="2" t="inlineStr">
        <is>
          <t xml:space="preserve">Propertyrecs.Com</t>
        </is>
      </c>
      <c r="D121" s="2" t="inlineStr">
        <is>
          <t xml:space="preserve">Software &amp; Online Subscriptions</t>
        </is>
      </c>
      <c r="E121" s="2" t="inlineStr">
        <is>
          <t xml:space="preserve">Subscriptions</t>
        </is>
      </c>
      <c r="F121" s="3">
        <v>20.0</v>
      </c>
    </row>
    <row r="122">
      <c r="A122" s="2" t="inlineStr">
        <is>
          <t xml:space="preserve">July 2026</t>
        </is>
      </c>
      <c r="B122" s="4">
        <v>46198</v>
      </c>
      <c r="C122" s="2" t="inlineStr">
        <is>
          <t xml:space="preserve">Jersey Mikes 3177 Southport NC</t>
        </is>
      </c>
      <c r="D122" s="2" t="inlineStr">
        <is>
          <t xml:space="preserve">Restaurants &amp; Takeout</t>
        </is>
      </c>
      <c r="E122" s="2" t="inlineStr">
        <is>
          <t xml:space="preserve">Food</t>
        </is>
      </c>
      <c r="F122" s="3">
        <v>15.2</v>
      </c>
    </row>
    <row r="123">
      <c r="A123" s="2" t="inlineStr">
        <is>
          <t xml:space="preserve">July 2026</t>
        </is>
      </c>
      <c r="B123" s="4">
        <v>46198</v>
      </c>
      <c r="C123" s="2" t="inlineStr">
        <is>
          <t xml:space="preserve">Apple.Com/Bill</t>
        </is>
      </c>
      <c r="D123" s="2" t="inlineStr">
        <is>
          <t xml:space="preserve">Software &amp; Online Subscriptions</t>
        </is>
      </c>
      <c r="E123" s="2" t="inlineStr">
        <is>
          <t xml:space="preserve">Subscriptions</t>
        </is>
      </c>
      <c r="F123" s="3">
        <v>2.99</v>
      </c>
    </row>
    <row r="124">
      <c r="A124" s="2" t="inlineStr">
        <is>
          <t xml:space="preserve">July 2026</t>
        </is>
      </c>
      <c r="B124" s="4">
        <v>46198</v>
      </c>
      <c r="C124" s="2" t="inlineStr">
        <is>
          <t xml:space="preserve">Shell Service Station Little River</t>
        </is>
      </c>
      <c r="D124" s="2" t="inlineStr">
        <is>
          <t xml:space="preserve">Gas &amp; Convenience Stores</t>
        </is>
      </c>
      <c r="E124" s="2" t="inlineStr">
        <is>
          <t xml:space="preserve">Transportation</t>
        </is>
      </c>
      <c r="F124" s="3">
        <v>46.84</v>
      </c>
    </row>
    <row r="125">
      <c r="A125" s="2" t="inlineStr">
        <is>
          <t xml:space="preserve">July 2026</t>
        </is>
      </c>
      <c r="B125" s="4">
        <v>46198</v>
      </c>
      <c r="C125" s="2" t="inlineStr">
        <is>
          <t xml:space="preserve">Hulu Santa Monica CA</t>
        </is>
      </c>
      <c r="D125" s="2" t="inlineStr">
        <is>
          <t xml:space="preserve">Streaming – Hulu</t>
        </is>
      </c>
      <c r="E125" s="2" t="inlineStr">
        <is>
          <t xml:space="preserve">Streaming</t>
        </is>
      </c>
      <c r="F125" s="3">
        <v>12.8</v>
      </c>
    </row>
    <row r="126">
      <c r="A126" s="2" t="inlineStr">
        <is>
          <t xml:space="preserve">July 2026</t>
        </is>
      </c>
      <c r="B126" s="4">
        <v>46198</v>
      </c>
      <c r="C126" s="2" t="inlineStr">
        <is>
          <t xml:space="preserve">Circle K # 23140 Little River SC</t>
        </is>
      </c>
      <c r="D126" s="2" t="inlineStr">
        <is>
          <t xml:space="preserve">Gas &amp; Convenience Stores</t>
        </is>
      </c>
      <c r="E126" s="2" t="inlineStr">
        <is>
          <t xml:space="preserve">Transportation</t>
        </is>
      </c>
      <c r="F126" s="3">
        <v>5.78</v>
      </c>
    </row>
    <row r="127">
      <c r="A127" s="2" t="inlineStr">
        <is>
          <t xml:space="preserve">July 2026</t>
        </is>
      </c>
      <c r="B127" s="4">
        <v>46198</v>
      </c>
      <c r="C127" s="2" t="inlineStr">
        <is>
          <t xml:space="preserve">Lowes Food #235 Bolivia NC</t>
        </is>
      </c>
      <c r="D127" s="2" t="inlineStr">
        <is>
          <t xml:space="preserve">Grocery – Lowes Foods</t>
        </is>
      </c>
      <c r="E127" s="2" t="inlineStr">
        <is>
          <t xml:space="preserve">Groceries</t>
        </is>
      </c>
      <c r="F127" s="3">
        <v>2.14</v>
      </c>
    </row>
    <row r="128">
      <c r="A128" s="2" t="inlineStr">
        <is>
          <t xml:space="preserve">July 2026</t>
        </is>
      </c>
      <c r="B128" s="4">
        <v>46199</v>
      </c>
      <c r="C128" s="2" t="inlineStr">
        <is>
          <t xml:space="preserve">DD *Doordash Falco</t>
        </is>
      </c>
      <c r="D128" s="2" t="inlineStr">
        <is>
          <t xml:space="preserve">Restaurants &amp; Takeout</t>
        </is>
      </c>
      <c r="E128" s="2" t="inlineStr">
        <is>
          <t xml:space="preserve">Food</t>
        </is>
      </c>
      <c r="F128" s="3">
        <v>53.94</v>
      </c>
    </row>
    <row r="129">
      <c r="A129" s="2" t="inlineStr">
        <is>
          <t xml:space="preserve">July 2026</t>
        </is>
      </c>
      <c r="B129" s="4">
        <v>46199</v>
      </c>
      <c r="C129" s="2" t="inlineStr">
        <is>
          <t xml:space="preserve">DD/Br #338554 Q35 Little River</t>
        </is>
      </c>
      <c r="D129" s="2" t="inlineStr">
        <is>
          <t xml:space="preserve">Restaurants &amp; Takeout</t>
        </is>
      </c>
      <c r="E129" s="2" t="inlineStr">
        <is>
          <t xml:space="preserve">Food</t>
        </is>
      </c>
      <c r="F129" s="3">
        <v>11.23</v>
      </c>
    </row>
    <row r="130">
      <c r="A130" s="2" t="inlineStr">
        <is>
          <t xml:space="preserve">July 2026</t>
        </is>
      </c>
      <c r="B130" s="4">
        <v>46199</v>
      </c>
      <c r="C130" s="2" t="inlineStr">
        <is>
          <t xml:space="preserve">Openai *Chatgpt Su</t>
        </is>
      </c>
      <c r="D130" s="2" t="inlineStr">
        <is>
          <t xml:space="preserve">Software &amp; Online Subscriptions</t>
        </is>
      </c>
      <c r="E130" s="2" t="inlineStr">
        <is>
          <t xml:space="preserve">Subscriptions</t>
        </is>
      </c>
      <c r="F130" s="3">
        <v>20.0</v>
      </c>
    </row>
    <row r="131">
      <c r="A131" s="2" t="inlineStr">
        <is>
          <t xml:space="preserve">July 2026</t>
        </is>
      </c>
      <c r="B131" s="4">
        <v>46199</v>
      </c>
      <c r="C131" s="2" t="inlineStr">
        <is>
          <t xml:space="preserve">Chipotle 2810 Myrtle Beach SC</t>
        </is>
      </c>
      <c r="D131" s="2" t="inlineStr">
        <is>
          <t xml:space="preserve">Restaurants &amp; Takeout</t>
        </is>
      </c>
      <c r="E131" s="2" t="inlineStr">
        <is>
          <t xml:space="preserve">Food</t>
        </is>
      </c>
      <c r="F131" s="3">
        <v>36.74</v>
      </c>
    </row>
    <row r="132">
      <c r="A132" s="2" t="inlineStr">
        <is>
          <t xml:space="preserve">July 2026</t>
        </is>
      </c>
      <c r="B132" s="4">
        <v>46199</v>
      </c>
      <c r="C132" s="2" t="inlineStr">
        <is>
          <t xml:space="preserve">Online Transfer to Dempsey M Wells Fargo Clear Access</t>
        </is>
      </c>
      <c r="D132" s="2" t="inlineStr">
        <is>
          <t xml:space="preserve">Transfer to Own WF Account</t>
        </is>
      </c>
      <c r="E132" s="2" t="inlineStr">
        <is>
          <t xml:space="preserve">Excluded</t>
        </is>
      </c>
      <c r="F132" s="3">
        <v>3.26</v>
      </c>
    </row>
    <row r="133">
      <c r="A133" s="2" t="inlineStr">
        <is>
          <t xml:space="preserve">July 2026</t>
        </is>
      </c>
      <c r="B133" s="4">
        <v>46199</v>
      </c>
      <c r="C133" s="2" t="inlineStr">
        <is>
          <t xml:space="preserve">American Express ACH Pmt W8716</t>
        </is>
      </c>
      <c r="D133" s="2" t="inlineStr">
        <is>
          <t xml:space="preserve">Credit Card Payoff – American Express</t>
        </is>
      </c>
      <c r="E133" s="2" t="inlineStr">
        <is>
          <t xml:space="preserve">Excluded</t>
        </is>
      </c>
      <c r="F133" s="3">
        <v>226.19</v>
      </c>
    </row>
    <row r="134">
      <c r="A134" s="2" t="inlineStr">
        <is>
          <t xml:space="preserve">July 2026</t>
        </is>
      </c>
      <c r="B134" s="4">
        <v>46199</v>
      </c>
      <c r="C134" s="2" t="inlineStr">
        <is>
          <t xml:space="preserve">American Express ACH Pmt W8252</t>
        </is>
      </c>
      <c r="D134" s="2" t="inlineStr">
        <is>
          <t xml:space="preserve">Credit Card Payoff – American Express</t>
        </is>
      </c>
      <c r="E134" s="2" t="inlineStr">
        <is>
          <t xml:space="preserve">Excluded</t>
        </is>
      </c>
      <c r="F134" s="3">
        <v>4000.9</v>
      </c>
    </row>
    <row r="135">
      <c r="A135" s="2" t="inlineStr">
        <is>
          <t xml:space="preserve">July 2026</t>
        </is>
      </c>
      <c r="B135" s="4">
        <v>46202</v>
      </c>
      <c r="C135" s="2" t="inlineStr">
        <is>
          <t xml:space="preserve">Chick-Fil-A #04071 Leland NC</t>
        </is>
      </c>
      <c r="D135" s="2" t="inlineStr">
        <is>
          <t xml:space="preserve">Restaurants &amp; Takeout</t>
        </is>
      </c>
      <c r="E135" s="2" t="inlineStr">
        <is>
          <t xml:space="preserve">Food</t>
        </is>
      </c>
      <c r="F135" s="3">
        <v>9.06</v>
      </c>
    </row>
    <row r="136">
      <c r="A136" s="2" t="inlineStr">
        <is>
          <t xml:space="preserve">July 2026</t>
        </is>
      </c>
      <c r="B136" s="4">
        <v>46202</v>
      </c>
      <c r="C136" s="2" t="inlineStr">
        <is>
          <t xml:space="preserve">St. James Marina Southport NC</t>
        </is>
      </c>
      <c r="D136" s="2" t="inlineStr">
        <is>
          <t xml:space="preserve">St. James Marina</t>
        </is>
      </c>
      <c r="E136" s="2" t="inlineStr">
        <is>
          <t xml:space="preserve">Recreation</t>
        </is>
      </c>
      <c r="F136" s="3">
        <v>18.64</v>
      </c>
    </row>
    <row r="137">
      <c r="A137" s="2" t="inlineStr">
        <is>
          <t xml:space="preserve">July 2026</t>
        </is>
      </c>
      <c r="B137" s="4">
        <v>46202</v>
      </c>
      <c r="C137" s="2" t="inlineStr">
        <is>
          <t xml:space="preserve">DD *Doordash Dairy</t>
        </is>
      </c>
      <c r="D137" s="2" t="inlineStr">
        <is>
          <t xml:space="preserve">Restaurants &amp; Takeout</t>
        </is>
      </c>
      <c r="E137" s="2" t="inlineStr">
        <is>
          <t xml:space="preserve">Food</t>
        </is>
      </c>
      <c r="F137" s="3">
        <v>33.46</v>
      </c>
    </row>
    <row r="138">
      <c r="A138" s="2" t="inlineStr">
        <is>
          <t xml:space="preserve">July 2026</t>
        </is>
      </c>
      <c r="B138" s="4">
        <v>46202</v>
      </c>
      <c r="C138" s="2" t="inlineStr">
        <is>
          <t xml:space="preserve">McDonald's F33155 Leland NC</t>
        </is>
      </c>
      <c r="D138" s="2" t="inlineStr">
        <is>
          <t xml:space="preserve">Restaurants &amp; Takeout</t>
        </is>
      </c>
      <c r="E138" s="2" t="inlineStr">
        <is>
          <t xml:space="preserve">Food</t>
        </is>
      </c>
      <c r="F138" s="3">
        <v>14.28</v>
      </c>
    </row>
    <row r="139">
      <c r="A139" s="2" t="inlineStr">
        <is>
          <t xml:space="preserve">July 2026</t>
        </is>
      </c>
      <c r="B139" s="4">
        <v>46202</v>
      </c>
      <c r="C139" s="2" t="inlineStr">
        <is>
          <t xml:space="preserve">DD *Doordash Sanfe</t>
        </is>
      </c>
      <c r="D139" s="2" t="inlineStr">
        <is>
          <t xml:space="preserve">Restaurants &amp; Takeout</t>
        </is>
      </c>
      <c r="E139" s="2" t="inlineStr">
        <is>
          <t xml:space="preserve">Food</t>
        </is>
      </c>
      <c r="F139" s="3">
        <v>77.69</v>
      </c>
    </row>
    <row r="140">
      <c r="A140" s="2" t="inlineStr">
        <is>
          <t xml:space="preserve">July 2026</t>
        </is>
      </c>
      <c r="B140" s="4">
        <v>46202</v>
      </c>
      <c r="C140" s="2" t="inlineStr">
        <is>
          <t xml:space="preserve">Lowe's Foods #1 Oak Island NC</t>
        </is>
      </c>
      <c r="D140" s="2" t="inlineStr">
        <is>
          <t xml:space="preserve">Grocery – Lowes Foods</t>
        </is>
      </c>
      <c r="E140" s="2" t="inlineStr">
        <is>
          <t xml:space="preserve">Groceries</t>
        </is>
      </c>
      <c r="F140" s="3">
        <v>41.57</v>
      </c>
    </row>
    <row r="141">
      <c r="A141" s="2" t="inlineStr">
        <is>
          <t xml:space="preserve">July 2026</t>
        </is>
      </c>
      <c r="B141" s="4">
        <v>46202</v>
      </c>
      <c r="C141" s="2" t="inlineStr">
        <is>
          <t xml:space="preserve">Bojangles 49 Wallace NC</t>
        </is>
      </c>
      <c r="D141" s="2" t="inlineStr">
        <is>
          <t xml:space="preserve">Restaurants &amp; Takeout</t>
        </is>
      </c>
      <c r="E141" s="2" t="inlineStr">
        <is>
          <t xml:space="preserve">Food</t>
        </is>
      </c>
      <c r="F141" s="3">
        <v>6.24</v>
      </c>
    </row>
    <row r="142">
      <c r="A142" s="2" t="inlineStr">
        <is>
          <t xml:space="preserve">July 2026</t>
        </is>
      </c>
      <c r="B142" s="4">
        <v>46202</v>
      </c>
      <c r="C142" s="2" t="inlineStr">
        <is>
          <t xml:space="preserve">Publix #1703 Oak Island NC</t>
        </is>
      </c>
      <c r="D142" s="2" t="inlineStr">
        <is>
          <t xml:space="preserve">Grocery – Publix</t>
        </is>
      </c>
      <c r="E142" s="2" t="inlineStr">
        <is>
          <t xml:space="preserve">Groceries</t>
        </is>
      </c>
      <c r="F142" s="3">
        <v>93.02</v>
      </c>
    </row>
    <row r="143">
      <c r="A143" s="2" t="inlineStr">
        <is>
          <t xml:space="preserve">July 2026</t>
        </is>
      </c>
      <c r="B143" s="4">
        <v>46202</v>
      </c>
      <c r="C143" s="2" t="inlineStr">
        <is>
          <t xml:space="preserve">Google *Youtube Tv</t>
        </is>
      </c>
      <c r="D143" s="2" t="inlineStr">
        <is>
          <t xml:space="preserve">Streaming – YouTube TV (Google)</t>
        </is>
      </c>
      <c r="E143" s="2" t="inlineStr">
        <is>
          <t xml:space="preserve">Streaming</t>
        </is>
      </c>
      <c r="F143" s="3">
        <v>89.0</v>
      </c>
    </row>
    <row r="144">
      <c r="A144" s="2" t="inlineStr">
        <is>
          <t xml:space="preserve">July 2026</t>
        </is>
      </c>
      <c r="B144" s="4">
        <v>46202</v>
      </c>
      <c r="C144" s="2" t="inlineStr">
        <is>
          <t xml:space="preserve">Google *Youtube Tv</t>
        </is>
      </c>
      <c r="D144" s="2" t="inlineStr">
        <is>
          <t xml:space="preserve">Streaming – YouTube TV (Google)</t>
        </is>
      </c>
      <c r="E144" s="2" t="inlineStr">
        <is>
          <t xml:space="preserve">Streaming</t>
        </is>
      </c>
      <c r="F144" s="3">
        <v>11.78</v>
      </c>
    </row>
    <row r="145">
      <c r="A145" s="2" t="inlineStr">
        <is>
          <t xml:space="preserve">July 2026</t>
        </is>
      </c>
      <c r="B145" s="4">
        <v>46202</v>
      </c>
      <c r="C145" s="2" t="inlineStr">
        <is>
          <t xml:space="preserve">Roku for Disney El</t>
        </is>
      </c>
      <c r="D145" s="2" t="inlineStr">
        <is>
          <t xml:space="preserve">Streaming – Disney (via Roku)</t>
        </is>
      </c>
      <c r="E145" s="2" t="inlineStr">
        <is>
          <t xml:space="preserve">Streaming</t>
        </is>
      </c>
      <c r="F145" s="3">
        <v>20.27</v>
      </c>
    </row>
    <row r="146">
      <c r="A146" s="2" t="inlineStr">
        <is>
          <t xml:space="preserve">July 2026</t>
        </is>
      </c>
      <c r="B146" s="4">
        <v>46202</v>
      </c>
      <c r="C146" s="2" t="inlineStr">
        <is>
          <t xml:space="preserve">McDonald's F4663 Henderson</t>
        </is>
      </c>
      <c r="D146" s="2" t="inlineStr">
        <is>
          <t xml:space="preserve">Restaurants &amp; Takeout</t>
        </is>
      </c>
      <c r="E146" s="2" t="inlineStr">
        <is>
          <t xml:space="preserve">Food</t>
        </is>
      </c>
      <c r="F146" s="3">
        <v>8.74</v>
      </c>
    </row>
    <row r="147">
      <c r="A147" s="2" t="inlineStr">
        <is>
          <t xml:space="preserve">July 2026</t>
        </is>
      </c>
      <c r="B147" s="4">
        <v>46202</v>
      </c>
      <c r="C147" s="2" t="inlineStr">
        <is>
          <t xml:space="preserve">Wal-Mart #2256 Henderson NC</t>
        </is>
      </c>
      <c r="D147" s="2" t="inlineStr">
        <is>
          <t xml:space="preserve">Retail – Walmart</t>
        </is>
      </c>
      <c r="E147" s="2" t="inlineStr">
        <is>
          <t xml:space="preserve">Retail</t>
        </is>
      </c>
      <c r="F147" s="3">
        <v>57.43</v>
      </c>
    </row>
    <row r="148">
      <c r="A148" s="2" t="inlineStr">
        <is>
          <t xml:space="preserve">July 2026</t>
        </is>
      </c>
      <c r="B148" s="4">
        <v>46202</v>
      </c>
      <c r="C148" s="2" t="inlineStr">
        <is>
          <t xml:space="preserve">Cvs/Pharmacy #07 07382--5</t>
        </is>
      </c>
      <c r="D148" s="2" t="inlineStr">
        <is>
          <t xml:space="preserve">CVS Pharmacy</t>
        </is>
      </c>
      <c r="E148" s="2" t="inlineStr">
        <is>
          <t xml:space="preserve">Health</t>
        </is>
      </c>
      <c r="F148" s="3">
        <v>14.99</v>
      </c>
    </row>
    <row r="149">
      <c r="A149" s="2" t="inlineStr">
        <is>
          <t xml:space="preserve">July 2026</t>
        </is>
      </c>
      <c r="B149" s="4">
        <v>46202</v>
      </c>
      <c r="C149" s="2" t="inlineStr">
        <is>
          <t xml:space="preserve">WM Supercenter #2256</t>
        </is>
      </c>
      <c r="D149" s="2" t="inlineStr">
        <is>
          <t xml:space="preserve">Retail – Walmart</t>
        </is>
      </c>
      <c r="E149" s="2" t="inlineStr">
        <is>
          <t xml:space="preserve">Retail</t>
        </is>
      </c>
      <c r="F149" s="3">
        <v>19.06</v>
      </c>
    </row>
    <row r="150">
      <c r="A150" s="2" t="inlineStr">
        <is>
          <t xml:space="preserve">July 2026</t>
        </is>
      </c>
      <c r="B150" s="4">
        <v>46203</v>
      </c>
      <c r="C150" s="2" t="inlineStr">
        <is>
          <t xml:space="preserve">Mms-Granville Med Oxford NC</t>
        </is>
      </c>
      <c r="D150" s="2" t="inlineStr">
        <is>
          <t xml:space="preserve">Medical – Granville Medical Center (Oxford)</t>
        </is>
      </c>
      <c r="E150" s="2" t="inlineStr">
        <is>
          <t xml:space="preserve">Health</t>
        </is>
      </c>
      <c r="F150" s="3">
        <v>10.1</v>
      </c>
    </row>
    <row r="151">
      <c r="A151" s="2" t="inlineStr">
        <is>
          <t xml:space="preserve">July 2026</t>
        </is>
      </c>
      <c r="B151" s="4">
        <v>46203</v>
      </c>
      <c r="C151" s="2" t="inlineStr">
        <is>
          <t xml:space="preserve">Publix #1703 Oak Island NC</t>
        </is>
      </c>
      <c r="D151" s="2" t="inlineStr">
        <is>
          <t xml:space="preserve">Grocery – Publix</t>
        </is>
      </c>
      <c r="E151" s="2" t="inlineStr">
        <is>
          <t xml:space="preserve">Groceries</t>
        </is>
      </c>
      <c r="F151" s="3">
        <v>18.98</v>
      </c>
    </row>
    <row r="152">
      <c r="A152" s="2" t="inlineStr">
        <is>
          <t xml:space="preserve">July 2026</t>
        </is>
      </c>
      <c r="B152" s="4">
        <v>46204</v>
      </c>
      <c r="C152" s="2" t="inlineStr">
        <is>
          <t xml:space="preserve">Chick-Fil-A #0175 Henderson NC</t>
        </is>
      </c>
      <c r="D152" s="2" t="inlineStr">
        <is>
          <t xml:space="preserve">Restaurants &amp; Takeout</t>
        </is>
      </c>
      <c r="E152" s="2" t="inlineStr">
        <is>
          <t xml:space="preserve">Food</t>
        </is>
      </c>
      <c r="F152" s="3">
        <v>7.37</v>
      </c>
    </row>
    <row r="153">
      <c r="A153" s="2" t="inlineStr">
        <is>
          <t xml:space="preserve">July 2026</t>
        </is>
      </c>
      <c r="B153" s="4">
        <v>46204</v>
      </c>
      <c r="C153" s="2" t="inlineStr">
        <is>
          <t xml:space="preserve">Mms-Granville Med Oxford NC</t>
        </is>
      </c>
      <c r="D153" s="2" t="inlineStr">
        <is>
          <t xml:space="preserve">Medical – Granville Medical Center (Oxford)</t>
        </is>
      </c>
      <c r="E153" s="2" t="inlineStr">
        <is>
          <t xml:space="preserve">Health</t>
        </is>
      </c>
      <c r="F153" s="3">
        <v>8.85</v>
      </c>
    </row>
    <row r="154">
      <c r="A154" s="2" t="inlineStr">
        <is>
          <t xml:space="preserve">July 2026</t>
        </is>
      </c>
      <c r="B154" s="4">
        <v>46204</v>
      </c>
      <c r="C154" s="2" t="inlineStr">
        <is>
          <t xml:space="preserve">Taste of China Southport NC</t>
        </is>
      </c>
      <c r="D154" s="2" t="inlineStr">
        <is>
          <t xml:space="preserve">Restaurants &amp; Takeout</t>
        </is>
      </c>
      <c r="E154" s="2" t="inlineStr">
        <is>
          <t xml:space="preserve">Food</t>
        </is>
      </c>
      <c r="F154" s="3">
        <v>24.15</v>
      </c>
    </row>
    <row r="155">
      <c r="A155" s="2" t="inlineStr">
        <is>
          <t xml:space="preserve">July 2026</t>
        </is>
      </c>
      <c r="B155" s="4">
        <v>46204</v>
      </c>
      <c r="C155" s="2" t="inlineStr">
        <is>
          <t xml:space="preserve">Lil &amp; Johnssweetre Oak Island</t>
        </is>
      </c>
      <c r="D155" s="2" t="inlineStr">
        <is>
          <t xml:space="preserve">Restaurants &amp; Takeout</t>
        </is>
      </c>
      <c r="E155" s="2" t="inlineStr">
        <is>
          <t xml:space="preserve">Food</t>
        </is>
      </c>
      <c r="F155" s="3">
        <v>24.34</v>
      </c>
    </row>
    <row r="156">
      <c r="A156" s="2" t="inlineStr">
        <is>
          <t xml:space="preserve">July 2026</t>
        </is>
      </c>
      <c r="B156" s="4">
        <v>46204</v>
      </c>
      <c r="C156" s="2" t="inlineStr">
        <is>
          <t xml:space="preserve">WM Supercenter #2256</t>
        </is>
      </c>
      <c r="D156" s="2" t="inlineStr">
        <is>
          <t xml:space="preserve">Retail – Walmart</t>
        </is>
      </c>
      <c r="E156" s="2" t="inlineStr">
        <is>
          <t xml:space="preserve">Retail</t>
        </is>
      </c>
      <c r="F156" s="3">
        <v>12.21</v>
      </c>
    </row>
    <row r="157">
      <c r="A157" s="2" t="inlineStr">
        <is>
          <t xml:space="preserve">July 2026</t>
        </is>
      </c>
      <c r="B157" s="4">
        <v>46205</v>
      </c>
      <c r="C157" s="2" t="inlineStr">
        <is>
          <t xml:space="preserve">Chick-Fil-A #0175 Henderson NC</t>
        </is>
      </c>
      <c r="D157" s="2" t="inlineStr">
        <is>
          <t xml:space="preserve">Restaurants &amp; Takeout</t>
        </is>
      </c>
      <c r="E157" s="2" t="inlineStr">
        <is>
          <t xml:space="preserve">Food</t>
        </is>
      </c>
      <c r="F157" s="3">
        <v>7.37</v>
      </c>
    </row>
    <row r="158">
      <c r="A158" s="2" t="inlineStr">
        <is>
          <t xml:space="preserve">July 2026</t>
        </is>
      </c>
      <c r="B158" s="4">
        <v>46205</v>
      </c>
      <c r="C158" s="2" t="inlineStr">
        <is>
          <t xml:space="preserve">Chick-Fil-A #0175 Henderson NC</t>
        </is>
      </c>
      <c r="D158" s="2" t="inlineStr">
        <is>
          <t xml:space="preserve">Restaurants &amp; Takeout</t>
        </is>
      </c>
      <c r="E158" s="2" t="inlineStr">
        <is>
          <t xml:space="preserve">Food</t>
        </is>
      </c>
      <c r="F158" s="3">
        <v>10.13</v>
      </c>
    </row>
    <row r="159">
      <c r="A159" s="2" t="inlineStr">
        <is>
          <t xml:space="preserve">July 2026</t>
        </is>
      </c>
      <c r="B159" s="4">
        <v>46205</v>
      </c>
      <c r="C159" s="2" t="inlineStr">
        <is>
          <t xml:space="preserve">Mms-Granville Med Oxford NC</t>
        </is>
      </c>
      <c r="D159" s="2" t="inlineStr">
        <is>
          <t xml:space="preserve">Medical – Granville Medical Center (Oxford)</t>
        </is>
      </c>
      <c r="E159" s="2" t="inlineStr">
        <is>
          <t xml:space="preserve">Health</t>
        </is>
      </c>
      <c r="F159" s="3">
        <v>6.21</v>
      </c>
    </row>
    <row r="160">
      <c r="A160" s="2" t="inlineStr">
        <is>
          <t xml:space="preserve">July 2026</t>
        </is>
      </c>
      <c r="B160" s="4">
        <v>46205</v>
      </c>
      <c r="C160" s="2" t="inlineStr">
        <is>
          <t xml:space="preserve">Shell Service Station Henderson</t>
        </is>
      </c>
      <c r="D160" s="2" t="inlineStr">
        <is>
          <t xml:space="preserve">Gas &amp; Convenience Stores</t>
        </is>
      </c>
      <c r="E160" s="2" t="inlineStr">
        <is>
          <t xml:space="preserve">Transportation</t>
        </is>
      </c>
      <c r="F160" s="3">
        <v>49.87</v>
      </c>
    </row>
    <row r="161">
      <c r="A161" s="2" t="inlineStr">
        <is>
          <t xml:space="preserve">July 2026</t>
        </is>
      </c>
      <c r="B161" s="4">
        <v>46206</v>
      </c>
      <c r="C161" s="2" t="inlineStr">
        <is>
          <t xml:space="preserve">DD *Doordash Falco</t>
        </is>
      </c>
      <c r="D161" s="2" t="inlineStr">
        <is>
          <t xml:space="preserve">Restaurants &amp; Takeout</t>
        </is>
      </c>
      <c r="E161" s="2" t="inlineStr">
        <is>
          <t xml:space="preserve">Food</t>
        </is>
      </c>
      <c r="F161" s="3">
        <v>50.74</v>
      </c>
    </row>
    <row r="162">
      <c r="A162" s="2" t="inlineStr">
        <is>
          <t xml:space="preserve">July 2026</t>
        </is>
      </c>
      <c r="B162" s="4">
        <v>46206</v>
      </c>
      <c r="C162" s="2" t="inlineStr">
        <is>
          <t xml:space="preserve">Publix #1703 Oak Island NC</t>
        </is>
      </c>
      <c r="D162" s="2" t="inlineStr">
        <is>
          <t xml:space="preserve">Grocery – Publix</t>
        </is>
      </c>
      <c r="E162" s="2" t="inlineStr">
        <is>
          <t xml:space="preserve">Groceries</t>
        </is>
      </c>
      <c r="F162" s="3">
        <v>47.28</v>
      </c>
    </row>
    <row r="163">
      <c r="A163" s="2" t="inlineStr">
        <is>
          <t xml:space="preserve">July 2026</t>
        </is>
      </c>
      <c r="B163" s="4">
        <v>46209</v>
      </c>
      <c r="C163" s="2" t="inlineStr">
        <is>
          <t xml:space="preserve">Chick-Fil-A #0175 Henderson NC</t>
        </is>
      </c>
      <c r="D163" s="2" t="inlineStr">
        <is>
          <t xml:space="preserve">Restaurants &amp; Takeout</t>
        </is>
      </c>
      <c r="E163" s="2" t="inlineStr">
        <is>
          <t xml:space="preserve">Food</t>
        </is>
      </c>
      <c r="F163" s="3">
        <v>25.88</v>
      </c>
    </row>
    <row r="164">
      <c r="A164" s="2" t="inlineStr">
        <is>
          <t xml:space="preserve">July 2026</t>
        </is>
      </c>
      <c r="B164" s="4">
        <v>46209</v>
      </c>
      <c r="C164" s="2" t="inlineStr">
        <is>
          <t xml:space="preserve">Chick-Fil-A #0175 Henderson NC</t>
        </is>
      </c>
      <c r="D164" s="2" t="inlineStr">
        <is>
          <t xml:space="preserve">Restaurants &amp; Takeout</t>
        </is>
      </c>
      <c r="E164" s="2" t="inlineStr">
        <is>
          <t xml:space="preserve">Food</t>
        </is>
      </c>
      <c r="F164" s="3">
        <v>7.79</v>
      </c>
    </row>
    <row r="165">
      <c r="A165" s="2" t="inlineStr">
        <is>
          <t xml:space="preserve">July 2026</t>
        </is>
      </c>
      <c r="B165" s="4">
        <v>46209</v>
      </c>
      <c r="C165" s="2" t="inlineStr">
        <is>
          <t xml:space="preserve">Hardees 1663 Benson NC</t>
        </is>
      </c>
      <c r="D165" s="2" t="inlineStr">
        <is>
          <t xml:space="preserve">Restaurants &amp; Takeout</t>
        </is>
      </c>
      <c r="E165" s="2" t="inlineStr">
        <is>
          <t xml:space="preserve">Food</t>
        </is>
      </c>
      <c r="F165" s="3">
        <v>8.53</v>
      </c>
    </row>
    <row r="166">
      <c r="A166" s="2" t="inlineStr">
        <is>
          <t xml:space="preserve">July 2026</t>
        </is>
      </c>
      <c r="B166" s="4">
        <v>46209</v>
      </c>
      <c r="C166" s="2" t="inlineStr">
        <is>
          <t xml:space="preserve">Publix #1703 Oak Island NC</t>
        </is>
      </c>
      <c r="D166" s="2" t="inlineStr">
        <is>
          <t xml:space="preserve">Grocery – Publix</t>
        </is>
      </c>
      <c r="E166" s="2" t="inlineStr">
        <is>
          <t xml:space="preserve">Groceries</t>
        </is>
      </c>
      <c r="F166" s="3">
        <v>94.64</v>
      </c>
    </row>
    <row r="167">
      <c r="A167" s="2" t="inlineStr">
        <is>
          <t xml:space="preserve">July 2026</t>
        </is>
      </c>
      <c r="B167" s="4">
        <v>46209</v>
      </c>
      <c r="C167" s="2" t="inlineStr">
        <is>
          <t xml:space="preserve">Frndlytv Inc*+ 1Ad</t>
        </is>
      </c>
      <c r="D167" s="2" t="inlineStr">
        <is>
          <t xml:space="preserve">Streaming – Frndly TV</t>
        </is>
      </c>
      <c r="E167" s="2" t="inlineStr">
        <is>
          <t xml:space="preserve">Streaming</t>
        </is>
      </c>
      <c r="F167" s="3">
        <v>22.41</v>
      </c>
    </row>
    <row r="168">
      <c r="A168" s="2" t="inlineStr">
        <is>
          <t xml:space="preserve">July 2026</t>
        </is>
      </c>
      <c r="B168" s="4">
        <v>46209</v>
      </c>
      <c r="C168" s="2" t="inlineStr">
        <is>
          <t xml:space="preserve">Venmo *Ryan</t>
        </is>
      </c>
      <c r="D168" s="2" t="inlineStr">
        <is>
          <t xml:space="preserve">Transfers to People (Venmo/Zelle)</t>
        </is>
      </c>
      <c r="E168" s="2" t="inlineStr">
        <is>
          <t xml:space="preserve">Transfers</t>
        </is>
      </c>
      <c r="F168" s="3">
        <v>700.0</v>
      </c>
    </row>
    <row r="169">
      <c r="A169" s="2" t="inlineStr">
        <is>
          <t xml:space="preserve">July 2026</t>
        </is>
      </c>
      <c r="B169" s="4">
        <v>46209</v>
      </c>
      <c r="C169" s="2" t="inlineStr">
        <is>
          <t xml:space="preserve">Sq *Saltwater Shan Supply NC</t>
        </is>
      </c>
      <c r="D169" s="2" t="inlineStr">
        <is>
          <t xml:space="preserve">Restaurants &amp; Takeout</t>
        </is>
      </c>
      <c r="E169" s="2" t="inlineStr">
        <is>
          <t xml:space="preserve">Food</t>
        </is>
      </c>
      <c r="F169" s="3">
        <v>19.19</v>
      </c>
    </row>
    <row r="170">
      <c r="A170" s="2" t="inlineStr">
        <is>
          <t xml:space="preserve">July 2026</t>
        </is>
      </c>
      <c r="B170" s="4">
        <v>46209</v>
      </c>
      <c r="C170" s="2" t="inlineStr">
        <is>
          <t xml:space="preserve">Venmo *Tracy Middleton</t>
        </is>
      </c>
      <c r="D170" s="2" t="inlineStr">
        <is>
          <t xml:space="preserve">Transfers to People (Venmo/Zelle)</t>
        </is>
      </c>
      <c r="E170" s="2" t="inlineStr">
        <is>
          <t xml:space="preserve">Transfers</t>
        </is>
      </c>
      <c r="F170" s="3">
        <v>64.05</v>
      </c>
    </row>
    <row r="171">
      <c r="A171" s="2" t="inlineStr">
        <is>
          <t xml:space="preserve">July 2026</t>
        </is>
      </c>
      <c r="B171" s="4">
        <v>46209</v>
      </c>
      <c r="C171" s="2" t="inlineStr">
        <is>
          <t xml:space="preserve">Delta Dental of Delta Dent</t>
        </is>
      </c>
      <c r="D171" s="2" t="inlineStr">
        <is>
          <t xml:space="preserve">Dental Insurance – Delta Dental</t>
        </is>
      </c>
      <c r="E171" s="2" t="inlineStr">
        <is>
          <t xml:space="preserve">Insurance</t>
        </is>
      </c>
      <c r="F171" s="3">
        <v>69.36</v>
      </c>
    </row>
    <row r="172">
      <c r="A172" s="2" t="inlineStr">
        <is>
          <t xml:space="preserve">July 2026</t>
        </is>
      </c>
      <c r="B172" s="4">
        <v>46209</v>
      </c>
      <c r="C172" s="2" t="inlineStr">
        <is>
          <t xml:space="preserve">American Express ACH Pmt W9322</t>
        </is>
      </c>
      <c r="D172" s="2" t="inlineStr">
        <is>
          <t xml:space="preserve">Credit Card Payoff – American Express</t>
        </is>
      </c>
      <c r="E172" s="2" t="inlineStr">
        <is>
          <t xml:space="preserve">Excluded</t>
        </is>
      </c>
      <c r="F172" s="3">
        <v>2000.0</v>
      </c>
    </row>
    <row r="173">
      <c r="A173" s="2" t="inlineStr">
        <is>
          <t xml:space="preserve">July 2026</t>
        </is>
      </c>
      <c r="B173" s="4">
        <v>46210</v>
      </c>
      <c r="C173" s="2" t="inlineStr">
        <is>
          <t xml:space="preserve">Autobks*Nextgen LA</t>
        </is>
      </c>
      <c r="D173" s="2" t="inlineStr">
        <is>
          <t xml:space="preserve">Yard Company (NextGen)</t>
        </is>
      </c>
      <c r="E173" s="2" t="inlineStr">
        <is>
          <t xml:space="preserve">Home</t>
        </is>
      </c>
      <c r="F173" s="3">
        <v>100.0</v>
      </c>
    </row>
    <row r="174">
      <c r="A174" s="2" t="inlineStr">
        <is>
          <t xml:space="preserve">July 2026</t>
        </is>
      </c>
      <c r="B174" s="4">
        <v>46210</v>
      </c>
      <c r="C174" s="2" t="inlineStr">
        <is>
          <t xml:space="preserve">WM Supercenter #5923 Myrtle</t>
        </is>
      </c>
      <c r="D174" s="2" t="inlineStr">
        <is>
          <t xml:space="preserve">Retail – Walmart</t>
        </is>
      </c>
      <c r="E174" s="2" t="inlineStr">
        <is>
          <t xml:space="preserve">Retail</t>
        </is>
      </c>
      <c r="F174" s="3">
        <v>43.96</v>
      </c>
    </row>
    <row r="175">
      <c r="A175" s="2" t="inlineStr">
        <is>
          <t xml:space="preserve">July 2026</t>
        </is>
      </c>
      <c r="B175" s="4">
        <v>46210</v>
      </c>
      <c r="C175" s="2" t="inlineStr">
        <is>
          <t xml:space="preserve">Lowes Foods #27 Southport NC</t>
        </is>
      </c>
      <c r="D175" s="2" t="inlineStr">
        <is>
          <t xml:space="preserve">Grocery – Lowes Foods</t>
        </is>
      </c>
      <c r="E175" s="2" t="inlineStr">
        <is>
          <t xml:space="preserve">Groceries</t>
        </is>
      </c>
      <c r="F175" s="3">
        <v>178.55</v>
      </c>
    </row>
    <row r="176">
      <c r="A176" s="2" t="inlineStr">
        <is>
          <t xml:space="preserve">July 2026</t>
        </is>
      </c>
      <c r="B176" s="4">
        <v>46210</v>
      </c>
      <c r="C176" s="2" t="inlineStr">
        <is>
          <t xml:space="preserve">Wtw Ccc Tccc 2026Jul</t>
        </is>
      </c>
      <c r="D176" s="2" t="inlineStr">
        <is>
          <t xml:space="preserve">WTW Health Premium (reimbursed by Via Benefits)</t>
        </is>
      </c>
      <c r="E176" s="2" t="inlineStr">
        <is>
          <t xml:space="preserve">Excluded</t>
        </is>
      </c>
      <c r="F176" s="3">
        <v>2576.0</v>
      </c>
    </row>
    <row r="177">
      <c r="A177" s="2" t="inlineStr">
        <is>
          <t xml:space="preserve">July 2026</t>
        </is>
      </c>
      <c r="B177" s="4">
        <v>46211</v>
      </c>
      <c r="C177" s="2" t="inlineStr">
        <is>
          <t xml:space="preserve">DD/Br #338554 Q35 Little River</t>
        </is>
      </c>
      <c r="D177" s="2" t="inlineStr">
        <is>
          <t xml:space="preserve">Restaurants &amp; Takeout</t>
        </is>
      </c>
      <c r="E177" s="2" t="inlineStr">
        <is>
          <t xml:space="preserve">Food</t>
        </is>
      </c>
      <c r="F177" s="3">
        <v>10.91</v>
      </c>
    </row>
    <row r="178">
      <c r="A178" s="2" t="inlineStr">
        <is>
          <t xml:space="preserve">July 2026</t>
        </is>
      </c>
      <c r="B178" s="4">
        <v>46211</v>
      </c>
      <c r="C178" s="2" t="inlineStr">
        <is>
          <t xml:space="preserve">NY Deli Myrtle Beach SC</t>
        </is>
      </c>
      <c r="D178" s="2" t="inlineStr">
        <is>
          <t xml:space="preserve">Restaurants &amp; Takeout</t>
        </is>
      </c>
      <c r="E178" s="2" t="inlineStr">
        <is>
          <t xml:space="preserve">Food</t>
        </is>
      </c>
      <c r="F178" s="3">
        <v>16.43</v>
      </c>
    </row>
    <row r="179">
      <c r="A179" s="2" t="inlineStr">
        <is>
          <t xml:space="preserve">July 2026</t>
        </is>
      </c>
      <c r="B179" s="4">
        <v>46211</v>
      </c>
      <c r="C179" s="2" t="inlineStr">
        <is>
          <t xml:space="preserve">Lowes Food #235 Bolivia NC</t>
        </is>
      </c>
      <c r="D179" s="2" t="inlineStr">
        <is>
          <t xml:space="preserve">Grocery – Lowes Foods</t>
        </is>
      </c>
      <c r="E179" s="2" t="inlineStr">
        <is>
          <t xml:space="preserve">Groceries</t>
        </is>
      </c>
      <c r="F179" s="3">
        <v>98.21</v>
      </c>
    </row>
    <row r="180">
      <c r="A180" s="2" t="inlineStr">
        <is>
          <t xml:space="preserve">July 2026</t>
        </is>
      </c>
      <c r="B180" s="4">
        <v>46211</v>
      </c>
      <c r="C180" s="2" t="inlineStr">
        <is>
          <t xml:space="preserve">Lowes Food #235 Bolivia NC</t>
        </is>
      </c>
      <c r="D180" s="2" t="inlineStr">
        <is>
          <t xml:space="preserve">Grocery – Lowes Foods</t>
        </is>
      </c>
      <c r="E180" s="2" t="inlineStr">
        <is>
          <t xml:space="preserve">Groceries</t>
        </is>
      </c>
      <c r="F180" s="3">
        <v>6.39</v>
      </c>
    </row>
    <row r="181">
      <c r="A181" s="2" t="inlineStr">
        <is>
          <t xml:space="preserve">July 2026</t>
        </is>
      </c>
      <c r="B181" s="4">
        <v>46211</v>
      </c>
      <c r="C181" s="2" t="inlineStr">
        <is>
          <t xml:space="preserve">Banner Life Prem Debit 17180884647</t>
        </is>
      </c>
      <c r="D181" s="2" t="inlineStr">
        <is>
          <t xml:space="preserve">Banner Life Insurance</t>
        </is>
      </c>
      <c r="E181" s="2" t="inlineStr">
        <is>
          <t xml:space="preserve">Insurance</t>
        </is>
      </c>
      <c r="F181" s="3">
        <v>710.06</v>
      </c>
    </row>
    <row r="182">
      <c r="A182" s="2" t="inlineStr">
        <is>
          <t xml:space="preserve">July 2026</t>
        </is>
      </c>
      <c r="B182" s="4">
        <v>46213</v>
      </c>
      <c r="C182" s="2" t="inlineStr">
        <is>
          <t xml:space="preserve">McDonald's F33155 Leland NC</t>
        </is>
      </c>
      <c r="D182" s="2" t="inlineStr">
        <is>
          <t xml:space="preserve">Restaurants &amp; Takeout</t>
        </is>
      </c>
      <c r="E182" s="2" t="inlineStr">
        <is>
          <t xml:space="preserve">Food</t>
        </is>
      </c>
      <c r="F182" s="3">
        <v>9.6</v>
      </c>
    </row>
    <row r="183">
      <c r="A183" s="2" t="inlineStr">
        <is>
          <t xml:space="preserve">July 2026</t>
        </is>
      </c>
      <c r="B183" s="4">
        <v>46213</v>
      </c>
      <c r="C183" s="2" t="inlineStr">
        <is>
          <t xml:space="preserve">Dicks Sporting Goo Wilmington</t>
        </is>
      </c>
      <c r="D183" s="2" t="inlineStr">
        <is>
          <t xml:space="preserve">Retail – Dick's Sporting Goods</t>
        </is>
      </c>
      <c r="E183" s="2" t="inlineStr">
        <is>
          <t xml:space="preserve">Retail</t>
        </is>
      </c>
      <c r="F183" s="3">
        <v>63.61</v>
      </c>
    </row>
    <row r="184">
      <c r="A184" s="2" t="inlineStr">
        <is>
          <t xml:space="preserve">July 2026</t>
        </is>
      </c>
      <c r="B184" s="4">
        <v>46213</v>
      </c>
      <c r="C184" s="2" t="inlineStr">
        <is>
          <t xml:space="preserve">Sq *Smoothie &amp; Bob</t>
        </is>
      </c>
      <c r="D184" s="2" t="inlineStr">
        <is>
          <t xml:space="preserve">Restaurants &amp; Takeout</t>
        </is>
      </c>
      <c r="E184" s="2" t="inlineStr">
        <is>
          <t xml:space="preserve">Food</t>
        </is>
      </c>
      <c r="F184" s="3">
        <v>9.51</v>
      </c>
    </row>
    <row r="185">
      <c r="A185" s="2" t="inlineStr">
        <is>
          <t xml:space="preserve">July 2026</t>
        </is>
      </c>
      <c r="B185" s="4">
        <v>46213</v>
      </c>
      <c r="C185" s="2" t="inlineStr">
        <is>
          <t xml:space="preserve">Cvs/Pharmacy #07382</t>
        </is>
      </c>
      <c r="D185" s="2" t="inlineStr">
        <is>
          <t xml:space="preserve">CVS Pharmacy</t>
        </is>
      </c>
      <c r="E185" s="2" t="inlineStr">
        <is>
          <t xml:space="preserve">Health</t>
        </is>
      </c>
      <c r="F185" s="3">
        <v>56.33</v>
      </c>
    </row>
    <row r="186">
      <c r="A186" s="2" t="inlineStr">
        <is>
          <t xml:space="preserve">July 2026</t>
        </is>
      </c>
      <c r="B186" s="4">
        <v>46213</v>
      </c>
      <c r="C186" s="2" t="inlineStr">
        <is>
          <t xml:space="preserve">Lowes Foods #27 Southport NC</t>
        </is>
      </c>
      <c r="D186" s="2" t="inlineStr">
        <is>
          <t xml:space="preserve">Grocery – Lowes Foods</t>
        </is>
      </c>
      <c r="E186" s="2" t="inlineStr">
        <is>
          <t xml:space="preserve">Groceries</t>
        </is>
      </c>
      <c r="F186" s="3">
        <v>22.21</v>
      </c>
    </row>
    <row r="187">
      <c r="A187" s="2" t="inlineStr">
        <is>
          <t xml:space="preserve">July 2026</t>
        </is>
      </c>
      <c r="B187" s="4">
        <v>46213</v>
      </c>
      <c r="C187" s="2" t="inlineStr">
        <is>
          <t xml:space="preserve">Belk Syf Paymnt Jul 10 604583156390724 Dempseyleigh</t>
        </is>
      </c>
      <c r="D187" s="2" t="inlineStr">
        <is>
          <t xml:space="preserve">Retail – Belk (store card payments)</t>
        </is>
      </c>
      <c r="E187" s="2" t="inlineStr">
        <is>
          <t xml:space="preserve">Retail</t>
        </is>
      </c>
      <c r="F187" s="3">
        <v>371.08</v>
      </c>
    </row>
    <row r="188">
      <c r="A188" s="2" t="inlineStr">
        <is>
          <t xml:space="preserve">July 2026</t>
        </is>
      </c>
      <c r="B188" s="4">
        <v>46216</v>
      </c>
      <c r="C188" s="2" t="inlineStr">
        <is>
          <t xml:space="preserve">Propertyrecs.Com</t>
        </is>
      </c>
      <c r="D188" s="2" t="inlineStr">
        <is>
          <t xml:space="preserve">Software &amp; Online Subscriptions</t>
        </is>
      </c>
      <c r="E188" s="2" t="inlineStr">
        <is>
          <t xml:space="preserve">Subscriptions</t>
        </is>
      </c>
      <c r="F188" s="3">
        <v>20.0</v>
      </c>
    </row>
    <row r="189">
      <c r="A189" s="2" t="inlineStr">
        <is>
          <t xml:space="preserve">July 2026</t>
        </is>
      </c>
      <c r="B189" s="4">
        <v>46216</v>
      </c>
      <c r="C189" s="2" t="inlineStr">
        <is>
          <t xml:space="preserve">DD *Doordash Jerse</t>
        </is>
      </c>
      <c r="D189" s="2" t="inlineStr">
        <is>
          <t xml:space="preserve">Restaurants &amp; Takeout</t>
        </is>
      </c>
      <c r="E189" s="2" t="inlineStr">
        <is>
          <t xml:space="preserve">Food</t>
        </is>
      </c>
      <c r="F189" s="3">
        <v>51.23</v>
      </c>
    </row>
    <row r="190">
      <c r="A190" s="2" t="inlineStr">
        <is>
          <t xml:space="preserve">July 2026</t>
        </is>
      </c>
      <c r="B190" s="4">
        <v>46216</v>
      </c>
      <c r="C190" s="2" t="inlineStr">
        <is>
          <t xml:space="preserve">McDonald's F7702 Southport NC</t>
        </is>
      </c>
      <c r="D190" s="2" t="inlineStr">
        <is>
          <t xml:space="preserve">Restaurants &amp; Takeout</t>
        </is>
      </c>
      <c r="E190" s="2" t="inlineStr">
        <is>
          <t xml:space="preserve">Food</t>
        </is>
      </c>
      <c r="F190" s="3">
        <v>9.49</v>
      </c>
    </row>
    <row r="191">
      <c r="A191" s="2" t="inlineStr">
        <is>
          <t xml:space="preserve">July 2026</t>
        </is>
      </c>
      <c r="B191" s="4">
        <v>46216</v>
      </c>
      <c r="C191" s="2" t="inlineStr">
        <is>
          <t xml:space="preserve">Marathon Supply NC</t>
        </is>
      </c>
      <c r="D191" s="2" t="inlineStr">
        <is>
          <t xml:space="preserve">Gas &amp; Convenience Stores</t>
        </is>
      </c>
      <c r="E191" s="2" t="inlineStr">
        <is>
          <t xml:space="preserve">Transportation</t>
        </is>
      </c>
      <c r="F191" s="3">
        <v>3.24</v>
      </c>
    </row>
    <row r="192">
      <c r="A192" s="2" t="inlineStr">
        <is>
          <t xml:space="preserve">July 2026</t>
        </is>
      </c>
      <c r="B192" s="4">
        <v>46216</v>
      </c>
      <c r="C192" s="2" t="inlineStr">
        <is>
          <t xml:space="preserve">Thai &amp; Vine Oak Island NC</t>
        </is>
      </c>
      <c r="D192" s="2" t="inlineStr">
        <is>
          <t xml:space="preserve">Restaurants &amp; Takeout</t>
        </is>
      </c>
      <c r="E192" s="2" t="inlineStr">
        <is>
          <t xml:space="preserve">Food</t>
        </is>
      </c>
      <c r="F192" s="3">
        <v>71.61</v>
      </c>
    </row>
    <row r="193">
      <c r="A193" s="2" t="inlineStr">
        <is>
          <t xml:space="preserve">July 2026</t>
        </is>
      </c>
      <c r="B193" s="4">
        <v>46216</v>
      </c>
      <c r="C193" s="2" t="inlineStr">
        <is>
          <t xml:space="preserve">Espn 800-7271800 NY</t>
        </is>
      </c>
      <c r="D193" s="2" t="inlineStr">
        <is>
          <t xml:space="preserve">Streaming – ESPN (Sept billed as Disney Plus)</t>
        </is>
      </c>
      <c r="E193" s="2" t="inlineStr">
        <is>
          <t xml:space="preserve">Streaming</t>
        </is>
      </c>
      <c r="F193" s="3">
        <v>13.87</v>
      </c>
    </row>
    <row r="194">
      <c r="A194" s="2" t="inlineStr">
        <is>
          <t xml:space="preserve">July 2026</t>
        </is>
      </c>
      <c r="B194" s="4">
        <v>46217</v>
      </c>
      <c r="C194" s="2" t="inlineStr">
        <is>
          <t xml:space="preserve">Lowes Foods #27 Southport NC</t>
        </is>
      </c>
      <c r="D194" s="2" t="inlineStr">
        <is>
          <t xml:space="preserve">Grocery – Lowes Foods</t>
        </is>
      </c>
      <c r="E194" s="2" t="inlineStr">
        <is>
          <t xml:space="preserve">Groceries</t>
        </is>
      </c>
      <c r="F194" s="3">
        <v>19.08</v>
      </c>
    </row>
    <row r="195">
      <c r="A195" s="2" t="inlineStr">
        <is>
          <t xml:space="preserve">July 2026</t>
        </is>
      </c>
      <c r="B195" s="4">
        <v>46217</v>
      </c>
      <c r="C195" s="2" t="inlineStr">
        <is>
          <t xml:space="preserve">Lil &amp; Johnssweetreat I Oak</t>
        </is>
      </c>
      <c r="D195" s="2" t="inlineStr">
        <is>
          <t xml:space="preserve">Restaurants &amp; Takeout</t>
        </is>
      </c>
      <c r="E195" s="2" t="inlineStr">
        <is>
          <t xml:space="preserve">Food</t>
        </is>
      </c>
      <c r="F195" s="3">
        <v>17.29</v>
      </c>
    </row>
    <row r="196">
      <c r="A196" s="2" t="inlineStr">
        <is>
          <t xml:space="preserve">July 2026</t>
        </is>
      </c>
      <c r="B196" s="4">
        <v>46217</v>
      </c>
      <c r="C196" s="2" t="inlineStr">
        <is>
          <t xml:space="preserve">Dept Education Student Ln 0000</t>
        </is>
      </c>
      <c r="D196" s="2" t="inlineStr">
        <is>
          <t xml:space="preserve">Student Loan (Dept of Education)</t>
        </is>
      </c>
      <c r="E196" s="2" t="inlineStr">
        <is>
          <t xml:space="preserve">Student Loan</t>
        </is>
      </c>
      <c r="F196" s="3">
        <v>160.37</v>
      </c>
    </row>
    <row r="197">
      <c r="A197" s="2" t="inlineStr">
        <is>
          <t xml:space="preserve">July 2026</t>
        </is>
      </c>
      <c r="B197" s="4">
        <v>46218</v>
      </c>
      <c r="C197" s="2" t="inlineStr">
        <is>
          <t xml:space="preserve">Bemc - Ecc Amanda.Wheele NC</t>
        </is>
      </c>
      <c r="D197" s="2" t="inlineStr">
        <is>
          <t xml:space="preserve">Utility – Electric (BEMC)</t>
        </is>
      </c>
      <c r="E197" s="2" t="inlineStr">
        <is>
          <t xml:space="preserve">Utilities</t>
        </is>
      </c>
      <c r="F197" s="3">
        <v>336.35</v>
      </c>
    </row>
    <row r="198">
      <c r="A198" s="2" t="inlineStr">
        <is>
          <t xml:space="preserve">July 2026</t>
        </is>
      </c>
      <c r="B198" s="4">
        <v>46218</v>
      </c>
      <c r="C198" s="2" t="inlineStr">
        <is>
          <t xml:space="preserve">Wwp*Spring-Green L</t>
        </is>
      </c>
      <c r="D198" s="2" t="inlineStr">
        <is>
          <t xml:space="preserve">Home Services (Pest Control, Lawn Treatment)</t>
        </is>
      </c>
      <c r="E198" s="2" t="inlineStr">
        <is>
          <t xml:space="preserve">Home</t>
        </is>
      </c>
      <c r="F198" s="3">
        <v>142.05</v>
      </c>
    </row>
    <row r="199">
      <c r="A199" s="2" t="inlineStr">
        <is>
          <t xml:space="preserve">July 2026</t>
        </is>
      </c>
      <c r="B199" s="4">
        <v>46218</v>
      </c>
      <c r="C199" s="2" t="inlineStr">
        <is>
          <t xml:space="preserve">St. James Marina Southport NC</t>
        </is>
      </c>
      <c r="D199" s="2" t="inlineStr">
        <is>
          <t xml:space="preserve">St. James Marina</t>
        </is>
      </c>
      <c r="E199" s="2" t="inlineStr">
        <is>
          <t xml:space="preserve">Recreation</t>
        </is>
      </c>
      <c r="F199" s="3">
        <v>14.9</v>
      </c>
    </row>
    <row r="200">
      <c r="A200" s="2" t="inlineStr">
        <is>
          <t xml:space="preserve">July 2026</t>
        </is>
      </c>
      <c r="B200" s="4">
        <v>46218</v>
      </c>
      <c r="C200" s="2" t="inlineStr">
        <is>
          <t xml:space="preserve">Circlek #2723140 3498 Little</t>
        </is>
      </c>
      <c r="D200" s="2" t="inlineStr">
        <is>
          <t xml:space="preserve">Gas &amp; Convenience Stores</t>
        </is>
      </c>
      <c r="E200" s="2" t="inlineStr">
        <is>
          <t xml:space="preserve">Transportation</t>
        </is>
      </c>
      <c r="F200" s="3">
        <v>50.55</v>
      </c>
    </row>
    <row r="201">
      <c r="A201" s="2" t="inlineStr">
        <is>
          <t xml:space="preserve">July 2026</t>
        </is>
      </c>
      <c r="B201" s="4">
        <v>46218</v>
      </c>
      <c r="C201" s="2" t="inlineStr">
        <is>
          <t xml:space="preserve">Circlek #2723140 3498 Little</t>
        </is>
      </c>
      <c r="D201" s="2" t="inlineStr">
        <is>
          <t xml:space="preserve">Gas &amp; Convenience Stores</t>
        </is>
      </c>
      <c r="E201" s="2" t="inlineStr">
        <is>
          <t xml:space="preserve">Transportation</t>
        </is>
      </c>
      <c r="F201" s="3">
        <v>1.99</v>
      </c>
    </row>
    <row r="202">
      <c r="A202" s="2" t="inlineStr">
        <is>
          <t xml:space="preserve">July 2026</t>
        </is>
      </c>
      <c r="B202" s="4">
        <v>46218</v>
      </c>
      <c r="C202" s="2" t="inlineStr">
        <is>
          <t xml:space="preserve">Lil &amp; Johnssweetreat 2 Oak</t>
        </is>
      </c>
      <c r="D202" s="2" t="inlineStr">
        <is>
          <t xml:space="preserve">Restaurants &amp; Takeout</t>
        </is>
      </c>
      <c r="E202" s="2" t="inlineStr">
        <is>
          <t xml:space="preserve">Food</t>
        </is>
      </c>
      <c r="F202" s="3">
        <v>17.29</v>
      </c>
    </row>
    <row r="203">
      <c r="A203" s="2" t="inlineStr">
        <is>
          <t xml:space="preserve">July 2026</t>
        </is>
      </c>
      <c r="B203" s="4">
        <v>46218</v>
      </c>
      <c r="C203" s="2" t="inlineStr">
        <is>
          <t xml:space="preserve">A&amp;D Mortgage LLC Re Payment</t>
        </is>
      </c>
      <c r="D203" s="2" t="inlineStr">
        <is>
          <t xml:space="preserve">A&amp;D Mortgage</t>
        </is>
      </c>
      <c r="E203" s="2" t="inlineStr">
        <is>
          <t xml:space="preserve">Housing</t>
        </is>
      </c>
      <c r="F203" s="3">
        <v>3411.1</v>
      </c>
    </row>
    <row r="204">
      <c r="A204" s="2" t="inlineStr">
        <is>
          <t xml:space="preserve">July 2026</t>
        </is>
      </c>
      <c r="B204" s="4">
        <v>46219</v>
      </c>
      <c r="C204" s="2" t="inlineStr">
        <is>
          <t xml:space="preserve">McDonald's F31556 Little River</t>
        </is>
      </c>
      <c r="D204" s="2" t="inlineStr">
        <is>
          <t xml:space="preserve">Restaurants &amp; Takeout</t>
        </is>
      </c>
      <c r="E204" s="2" t="inlineStr">
        <is>
          <t xml:space="preserve">Food</t>
        </is>
      </c>
      <c r="F204" s="3">
        <v>12.04</v>
      </c>
    </row>
    <row r="205">
      <c r="A205" s="2" t="inlineStr">
        <is>
          <t xml:space="preserve">July 2026</t>
        </is>
      </c>
      <c r="B205" s="4">
        <v>46219</v>
      </c>
      <c r="C205" s="2" t="inlineStr">
        <is>
          <t xml:space="preserve">Tst*Little Pigs Bb Myrtle Beach</t>
        </is>
      </c>
      <c r="D205" s="2" t="inlineStr">
        <is>
          <t xml:space="preserve">Restaurants &amp; Takeout</t>
        </is>
      </c>
      <c r="E205" s="2" t="inlineStr">
        <is>
          <t xml:space="preserve">Food</t>
        </is>
      </c>
      <c r="F205" s="3">
        <v>19.89</v>
      </c>
    </row>
    <row r="206">
      <c r="A206" s="2" t="inlineStr">
        <is>
          <t xml:space="preserve">July 2026</t>
        </is>
      </c>
      <c r="B206" s="4">
        <v>46219</v>
      </c>
      <c r="C206" s="2" t="inlineStr">
        <is>
          <t xml:space="preserve">Lowe's Foods #1 Oak Island NC</t>
        </is>
      </c>
      <c r="D206" s="2" t="inlineStr">
        <is>
          <t xml:space="preserve">Grocery – Lowes Foods</t>
        </is>
      </c>
      <c r="E206" s="2" t="inlineStr">
        <is>
          <t xml:space="preserve">Groceries</t>
        </is>
      </c>
      <c r="F206" s="3">
        <v>56.23</v>
      </c>
    </row>
    <row r="207">
      <c r="A207" s="2" t="inlineStr">
        <is>
          <t xml:space="preserve">July 2026</t>
        </is>
      </c>
      <c r="B207" s="4">
        <v>46219</v>
      </c>
      <c r="C207" s="2" t="inlineStr">
        <is>
          <t xml:space="preserve">Refuel 119 Oxford NC</t>
        </is>
      </c>
      <c r="D207" s="2" t="inlineStr">
        <is>
          <t xml:space="preserve">Gas &amp; Convenience Stores</t>
        </is>
      </c>
      <c r="E207" s="2" t="inlineStr">
        <is>
          <t xml:space="preserve">Transportation</t>
        </is>
      </c>
      <c r="F207" s="3">
        <v>5.61</v>
      </c>
    </row>
    <row r="208">
      <c r="A208" s="2" t="inlineStr">
        <is>
          <t xml:space="preserve">July 2026</t>
        </is>
      </c>
      <c r="B208" s="4">
        <v>46219</v>
      </c>
      <c r="C208" s="2" t="inlineStr">
        <is>
          <t xml:space="preserve">Lowes Food #235 Bolivia NC</t>
        </is>
      </c>
      <c r="D208" s="2" t="inlineStr">
        <is>
          <t xml:space="preserve">Grocery – Lowes Foods</t>
        </is>
      </c>
      <c r="E208" s="2" t="inlineStr">
        <is>
          <t xml:space="preserve">Groceries</t>
        </is>
      </c>
      <c r="F208" s="3">
        <v>16.8</v>
      </c>
    </row>
    <row r="209">
      <c r="A209" s="2" t="inlineStr">
        <is>
          <t xml:space="preserve">July 2026</t>
        </is>
      </c>
      <c r="B209" s="4">
        <v>46219</v>
      </c>
      <c r="C209" s="2" t="inlineStr">
        <is>
          <t xml:space="preserve">Belk Syf Paymnt Jul 16 604583156390724 Dempseyleigh</t>
        </is>
      </c>
      <c r="D209" s="2" t="inlineStr">
        <is>
          <t xml:space="preserve">Retail – Belk (store card payments)</t>
        </is>
      </c>
      <c r="E209" s="2" t="inlineStr">
        <is>
          <t xml:space="preserve">Retail</t>
        </is>
      </c>
      <c r="F209" s="3">
        <v>576.96</v>
      </c>
    </row>
    <row r="210">
      <c r="A210" s="2" t="inlineStr">
        <is>
          <t xml:space="preserve">July 2026</t>
        </is>
      </c>
      <c r="B210" s="4">
        <v>46220</v>
      </c>
      <c r="C210" s="2" t="inlineStr">
        <is>
          <t xml:space="preserve">McDonald's F12282 Warsaw NC</t>
        </is>
      </c>
      <c r="D210" s="2" t="inlineStr">
        <is>
          <t xml:space="preserve">Restaurants &amp; Takeout</t>
        </is>
      </c>
      <c r="E210" s="2" t="inlineStr">
        <is>
          <t xml:space="preserve">Food</t>
        </is>
      </c>
      <c r="F210" s="3">
        <v>15.39</v>
      </c>
    </row>
    <row r="211">
      <c r="A211" s="2" t="inlineStr">
        <is>
          <t xml:space="preserve">July 2026</t>
        </is>
      </c>
      <c r="B211" s="4">
        <v>46220</v>
      </c>
      <c r="C211" s="2" t="inlineStr">
        <is>
          <t xml:space="preserve">Speedway 44658 Raleigh NC</t>
        </is>
      </c>
      <c r="D211" s="2" t="inlineStr">
        <is>
          <t xml:space="preserve">Gas &amp; Convenience Stores</t>
        </is>
      </c>
      <c r="E211" s="2" t="inlineStr">
        <is>
          <t xml:space="preserve">Transportation</t>
        </is>
      </c>
      <c r="F211" s="3">
        <v>1.62</v>
      </c>
    </row>
    <row r="212">
      <c r="A212" s="2" t="inlineStr">
        <is>
          <t xml:space="preserve">July 2026</t>
        </is>
      </c>
      <c r="B212" s="4">
        <v>46220</v>
      </c>
      <c r="C212" s="2" t="inlineStr">
        <is>
          <t xml:space="preserve">+Lincoln Nationa EDI Pymnt</t>
        </is>
      </c>
      <c r="D212" s="2" t="inlineStr">
        <is>
          <t xml:space="preserve">Life Insurance (Lincoln National)</t>
        </is>
      </c>
      <c r="E212" s="2" t="inlineStr">
        <is>
          <t xml:space="preserve">Insurance</t>
        </is>
      </c>
      <c r="F212" s="3">
        <v>73.61</v>
      </c>
    </row>
    <row r="213">
      <c r="A213" s="2" t="inlineStr">
        <is>
          <t xml:space="preserve">July 2026</t>
        </is>
      </c>
      <c r="B213" s="4">
        <v>46220</v>
      </c>
      <c r="C213" s="2" t="inlineStr">
        <is>
          <t xml:space="preserve">American Express ACH Pmt W3522</t>
        </is>
      </c>
      <c r="D213" s="2" t="inlineStr">
        <is>
          <t xml:space="preserve">Credit Card Payoff – American Express</t>
        </is>
      </c>
      <c r="E213" s="2" t="inlineStr">
        <is>
          <t xml:space="preserve">Excluded</t>
        </is>
      </c>
      <c r="F213" s="3">
        <v>1000.0</v>
      </c>
    </row>
    <row r="214">
      <c r="A214" s="2" t="inlineStr">
        <is>
          <t xml:space="preserve">July 2026</t>
        </is>
      </c>
      <c r="B214" s="4">
        <v>46223</v>
      </c>
      <c r="C214" s="2" t="inlineStr">
        <is>
          <t xml:space="preserve">Cruizers 81 Oxford NC</t>
        </is>
      </c>
      <c r="D214" s="2" t="inlineStr">
        <is>
          <t xml:space="preserve">Restaurants &amp; Takeout</t>
        </is>
      </c>
      <c r="E214" s="2" t="inlineStr">
        <is>
          <t xml:space="preserve">Food</t>
        </is>
      </c>
      <c r="F214" s="3">
        <v>37.85</v>
      </c>
    </row>
    <row r="215">
      <c r="A215" s="2" t="inlineStr">
        <is>
          <t xml:space="preserve">July 2026</t>
        </is>
      </c>
      <c r="B215" s="4">
        <v>46223</v>
      </c>
      <c r="C215" s="2" t="inlineStr">
        <is>
          <t xml:space="preserve">Wendy's #8117 Warsaw NC</t>
        </is>
      </c>
      <c r="D215" s="2" t="inlineStr">
        <is>
          <t xml:space="preserve">Restaurants &amp; Takeout</t>
        </is>
      </c>
      <c r="E215" s="2" t="inlineStr">
        <is>
          <t xml:space="preserve">Food</t>
        </is>
      </c>
      <c r="F215" s="3">
        <v>20.29</v>
      </c>
    </row>
    <row r="216">
      <c r="A216" s="2" t="inlineStr">
        <is>
          <t xml:space="preserve">July 2026</t>
        </is>
      </c>
      <c r="B216" s="4">
        <v>46223</v>
      </c>
      <c r="C216" s="2" t="inlineStr">
        <is>
          <t xml:space="preserve">Publix #1703 Oak Island NC</t>
        </is>
      </c>
      <c r="D216" s="2" t="inlineStr">
        <is>
          <t xml:space="preserve">Grocery – Publix</t>
        </is>
      </c>
      <c r="E216" s="2" t="inlineStr">
        <is>
          <t xml:space="preserve">Groceries</t>
        </is>
      </c>
      <c r="F216" s="3">
        <v>55.49</v>
      </c>
    </row>
    <row r="217">
      <c r="A217" s="2" t="inlineStr">
        <is>
          <t xml:space="preserve">July 2026</t>
        </is>
      </c>
      <c r="B217" s="4">
        <v>46223</v>
      </c>
      <c r="C217" s="2" t="inlineStr">
        <is>
          <t xml:space="preserve">Adobe *Adobe</t>
        </is>
      </c>
      <c r="D217" s="2" t="inlineStr">
        <is>
          <t xml:space="preserve">Software &amp; Online Subscriptions</t>
        </is>
      </c>
      <c r="E217" s="2" t="inlineStr">
        <is>
          <t xml:space="preserve">Subscriptions</t>
        </is>
      </c>
      <c r="F217" s="3">
        <v>75.06</v>
      </c>
    </row>
    <row r="218">
      <c r="A218" s="2" t="inlineStr">
        <is>
          <t xml:space="preserve">July 2026</t>
        </is>
      </c>
      <c r="B218" s="4">
        <v>46223</v>
      </c>
      <c r="C218" s="2" t="inlineStr">
        <is>
          <t xml:space="preserve">Publix #1703 Oak Island NC</t>
        </is>
      </c>
      <c r="D218" s="2" t="inlineStr">
        <is>
          <t xml:space="preserve">Grocery – Publix</t>
        </is>
      </c>
      <c r="E218" s="2" t="inlineStr">
        <is>
          <t xml:space="preserve">Groceries</t>
        </is>
      </c>
      <c r="F218" s="3">
        <v>7.74</v>
      </c>
    </row>
    <row r="219">
      <c r="A219" s="2" t="inlineStr">
        <is>
          <t xml:space="preserve">July 2026</t>
        </is>
      </c>
      <c r="B219" s="4">
        <v>46223</v>
      </c>
      <c r="C219" s="2" t="inlineStr">
        <is>
          <t xml:space="preserve">Tst* Sorella Pizza Holden Beach</t>
        </is>
      </c>
      <c r="D219" s="2" t="inlineStr">
        <is>
          <t xml:space="preserve">Restaurants &amp; Takeout</t>
        </is>
      </c>
      <c r="E219" s="2" t="inlineStr">
        <is>
          <t xml:space="preserve">Food</t>
        </is>
      </c>
      <c r="F219" s="3">
        <v>62.71</v>
      </c>
    </row>
    <row r="220">
      <c r="A220" s="2" t="inlineStr">
        <is>
          <t xml:space="preserve">July 2026</t>
        </is>
      </c>
      <c r="B220" s="4">
        <v>46223</v>
      </c>
      <c r="C220" s="2" t="inlineStr">
        <is>
          <t xml:space="preserve">Lowes Foods #27 Southport NC</t>
        </is>
      </c>
      <c r="D220" s="2" t="inlineStr">
        <is>
          <t xml:space="preserve">Grocery – Lowes Foods</t>
        </is>
      </c>
      <c r="E220" s="2" t="inlineStr">
        <is>
          <t xml:space="preserve">Groceries</t>
        </is>
      </c>
      <c r="F220" s="3">
        <v>169.96</v>
      </c>
    </row>
    <row r="221">
      <c r="A221" s="2" t="inlineStr">
        <is>
          <t xml:space="preserve">July 2026</t>
        </is>
      </c>
      <c r="B221" s="4">
        <v>46223</v>
      </c>
      <c r="C221" s="2" t="inlineStr">
        <is>
          <t xml:space="preserve">Circlek #2723140 3498 Little</t>
        </is>
      </c>
      <c r="D221" s="2" t="inlineStr">
        <is>
          <t xml:space="preserve">Gas &amp; Convenience Stores</t>
        </is>
      </c>
      <c r="E221" s="2" t="inlineStr">
        <is>
          <t xml:space="preserve">Transportation</t>
        </is>
      </c>
      <c r="F221" s="3">
        <v>5.18</v>
      </c>
    </row>
    <row r="222">
      <c r="A222" s="2" t="inlineStr">
        <is>
          <t xml:space="preserve">July 2026</t>
        </is>
      </c>
      <c r="B222" s="4">
        <v>46223</v>
      </c>
      <c r="C222" s="2" t="inlineStr">
        <is>
          <t xml:space="preserve">St James 7134 Pap</t>
        </is>
      </c>
      <c r="D222" s="2" t="inlineStr">
        <is>
          <t xml:space="preserve">St. James Membership (Club)</t>
        </is>
      </c>
      <c r="E222" s="2" t="inlineStr">
        <is>
          <t xml:space="preserve">Housing</t>
        </is>
      </c>
      <c r="F222" s="3">
        <v>1601.56</v>
      </c>
    </row>
    <row r="223">
      <c r="A223" s="2" t="inlineStr">
        <is>
          <t xml:space="preserve">July 2026</t>
        </is>
      </c>
      <c r="B223" s="4">
        <v>46224</v>
      </c>
      <c r="C223" s="2" t="inlineStr">
        <is>
          <t xml:space="preserve">Cook Out Southport Southport</t>
        </is>
      </c>
      <c r="D223" s="2" t="inlineStr">
        <is>
          <t xml:space="preserve">Restaurants &amp; Takeout</t>
        </is>
      </c>
      <c r="E223" s="2" t="inlineStr">
        <is>
          <t xml:space="preserve">Food</t>
        </is>
      </c>
      <c r="F223" s="3">
        <v>4.26</v>
      </c>
    </row>
    <row r="224">
      <c r="A224" s="2" t="inlineStr">
        <is>
          <t xml:space="preserve">July 2026</t>
        </is>
      </c>
      <c r="B224" s="4">
        <v>46224</v>
      </c>
      <c r="C224" s="2" t="inlineStr">
        <is>
          <t xml:space="preserve">Allstate *Paymn</t>
        </is>
      </c>
      <c r="D224" s="2" t="inlineStr">
        <is>
          <t xml:space="preserve">Allstate Insurance</t>
        </is>
      </c>
      <c r="E224" s="2" t="inlineStr">
        <is>
          <t xml:space="preserve">Insurance</t>
        </is>
      </c>
      <c r="F224" s="3">
        <v>360.42</v>
      </c>
    </row>
    <row r="225">
      <c r="A225" s="2" t="inlineStr">
        <is>
          <t xml:space="preserve">July 2026</t>
        </is>
      </c>
      <c r="B225" s="4">
        <v>46224</v>
      </c>
      <c r="C225" s="2" t="inlineStr">
        <is>
          <t xml:space="preserve">McDonald's F31556 Little River</t>
        </is>
      </c>
      <c r="D225" s="2" t="inlineStr">
        <is>
          <t xml:space="preserve">Restaurants &amp; Takeout</t>
        </is>
      </c>
      <c r="E225" s="2" t="inlineStr">
        <is>
          <t xml:space="preserve">Food</t>
        </is>
      </c>
      <c r="F225" s="3">
        <v>12.04</v>
      </c>
    </row>
    <row r="226">
      <c r="A226" s="2" t="inlineStr">
        <is>
          <t xml:space="preserve">July 2026</t>
        </is>
      </c>
      <c r="B226" s="4">
        <v>46224</v>
      </c>
      <c r="C226" s="2" t="inlineStr">
        <is>
          <t xml:space="preserve">Publix #1703 Oak Island NC</t>
        </is>
      </c>
      <c r="D226" s="2" t="inlineStr">
        <is>
          <t xml:space="preserve">Grocery – Publix</t>
        </is>
      </c>
      <c r="E226" s="2" t="inlineStr">
        <is>
          <t xml:space="preserve">Groceries</t>
        </is>
      </c>
      <c r="F226" s="3">
        <v>14.28</v>
      </c>
    </row>
    <row r="227">
      <c r="A227" s="2" t="inlineStr">
        <is>
          <t xml:space="preserve">July 2026</t>
        </is>
      </c>
      <c r="B227" s="4">
        <v>46224</v>
      </c>
      <c r="C227" s="2" t="inlineStr">
        <is>
          <t xml:space="preserve">Cvs/Pharmacy #0738 South Port</t>
        </is>
      </c>
      <c r="D227" s="2" t="inlineStr">
        <is>
          <t xml:space="preserve">CVS Pharmacy</t>
        </is>
      </c>
      <c r="E227" s="2" t="inlineStr">
        <is>
          <t xml:space="preserve">Health</t>
        </is>
      </c>
      <c r="F227" s="3">
        <v>29.61</v>
      </c>
    </row>
    <row r="228">
      <c r="A228" s="2" t="inlineStr">
        <is>
          <t xml:space="preserve">July 2026</t>
        </is>
      </c>
      <c r="B228" s="4">
        <v>46224</v>
      </c>
      <c r="C228" s="2" t="inlineStr">
        <is>
          <t xml:space="preserve">Rps*Bowery West CD</t>
        </is>
      </c>
      <c r="D228" s="2" t="inlineStr">
        <is>
          <t xml:space="preserve">Bowery West</t>
        </is>
      </c>
      <c r="E228" s="2" t="inlineStr">
        <is>
          <t xml:space="preserve">Excluded</t>
        </is>
      </c>
      <c r="F228" s="3">
        <v>75.0</v>
      </c>
    </row>
    <row r="229">
      <c r="A229" s="2" t="inlineStr">
        <is>
          <t xml:space="preserve">July 2026</t>
        </is>
      </c>
      <c r="B229" s="4">
        <v>46224</v>
      </c>
      <c r="C229" s="2" t="inlineStr">
        <is>
          <t xml:space="preserve">Rps*Bowery West CD</t>
        </is>
      </c>
      <c r="D229" s="2" t="inlineStr">
        <is>
          <t xml:space="preserve">Bowery West</t>
        </is>
      </c>
      <c r="E229" s="2" t="inlineStr">
        <is>
          <t xml:space="preserve">Excluded</t>
        </is>
      </c>
      <c r="F229" s="3">
        <v>125.0</v>
      </c>
    </row>
    <row r="230">
      <c r="A230" s="2" t="inlineStr">
        <is>
          <t xml:space="preserve">July 2026</t>
        </is>
      </c>
      <c r="B230" s="4">
        <v>46224</v>
      </c>
      <c r="C230" s="2" t="inlineStr">
        <is>
          <t xml:space="preserve">Rps*Bowery West CD</t>
        </is>
      </c>
      <c r="D230" s="2" t="inlineStr">
        <is>
          <t xml:space="preserve">Bowery West</t>
        </is>
      </c>
      <c r="E230" s="2" t="inlineStr">
        <is>
          <t xml:space="preserve">Excluded</t>
        </is>
      </c>
      <c r="F230" s="3">
        <v>75.0</v>
      </c>
    </row>
    <row r="231">
      <c r="A231" s="2" t="inlineStr">
        <is>
          <t xml:space="preserve">July 2026</t>
        </is>
      </c>
      <c r="B231" s="4">
        <v>46224</v>
      </c>
      <c r="C231" s="2" t="inlineStr">
        <is>
          <t xml:space="preserve">Rps*Bowery West CD</t>
        </is>
      </c>
      <c r="D231" s="2" t="inlineStr">
        <is>
          <t xml:space="preserve">Bowery West</t>
        </is>
      </c>
      <c r="E231" s="2" t="inlineStr">
        <is>
          <t xml:space="preserve">Excluded</t>
        </is>
      </c>
      <c r="F231" s="3">
        <v>125.0</v>
      </c>
    </row>
    <row r="232">
      <c r="A232" s="2" t="inlineStr">
        <is>
          <t xml:space="preserve">July 2026</t>
        </is>
      </c>
      <c r="B232" s="4">
        <v>46224</v>
      </c>
      <c r="C232" s="2" t="inlineStr">
        <is>
          <t xml:space="preserve">Circlek #2723135 8920 Oak</t>
        </is>
      </c>
      <c r="D232" s="2" t="inlineStr">
        <is>
          <t xml:space="preserve">Gas &amp; Convenience Stores</t>
        </is>
      </c>
      <c r="E232" s="2" t="inlineStr">
        <is>
          <t xml:space="preserve">Transportation</t>
        </is>
      </c>
      <c r="F232" s="3">
        <v>48.9</v>
      </c>
    </row>
    <row r="233">
      <c r="A233" s="2" t="inlineStr">
        <is>
          <t xml:space="preserve">July 2026</t>
        </is>
      </c>
      <c r="B233" s="4">
        <v>46224</v>
      </c>
      <c r="C233" s="2" t="inlineStr">
        <is>
          <t xml:space="preserve">Circlek #2723487 16 Oc Supply</t>
        </is>
      </c>
      <c r="D233" s="2" t="inlineStr">
        <is>
          <t xml:space="preserve">Gas &amp; Convenience Stores</t>
        </is>
      </c>
      <c r="E233" s="2" t="inlineStr">
        <is>
          <t xml:space="preserve">Transportation</t>
        </is>
      </c>
      <c r="F233" s="3">
        <v>58.29</v>
      </c>
    </row>
    <row r="234">
      <c r="A234" s="2" t="inlineStr">
        <is>
          <t xml:space="preserve">July 2026</t>
        </is>
      </c>
      <c r="B234" s="4">
        <v>46224</v>
      </c>
      <c r="C234" s="2" t="inlineStr">
        <is>
          <t xml:space="preserve">Food Lion #1593 1775 C Sunset</t>
        </is>
      </c>
      <c r="D234" s="2" t="inlineStr">
        <is>
          <t xml:space="preserve">Grocery – Food Lion</t>
        </is>
      </c>
      <c r="E234" s="2" t="inlineStr">
        <is>
          <t xml:space="preserve">Groceries</t>
        </is>
      </c>
      <c r="F234" s="3">
        <v>336.67</v>
      </c>
    </row>
    <row r="235">
      <c r="A235" s="2" t="inlineStr">
        <is>
          <t xml:space="preserve">July 2026</t>
        </is>
      </c>
      <c r="B235" s="4">
        <v>46224</v>
      </c>
      <c r="C235" s="2" t="inlineStr">
        <is>
          <t xml:space="preserve">Verizon Wireless Payments</t>
        </is>
      </c>
      <c r="D235" s="2" t="inlineStr">
        <is>
          <t xml:space="preserve">Verizon Wireless</t>
        </is>
      </c>
      <c r="E235" s="2" t="inlineStr">
        <is>
          <t xml:space="preserve">Phone &amp; Internet</t>
        </is>
      </c>
      <c r="F235" s="3">
        <v>294.8</v>
      </c>
    </row>
    <row r="236">
      <c r="A236" s="2" t="inlineStr">
        <is>
          <t xml:space="preserve">July 2026</t>
        </is>
      </c>
      <c r="B236" s="4">
        <v>46225</v>
      </c>
      <c r="C236" s="2" t="inlineStr">
        <is>
          <t xml:space="preserve">Roku for Peacock T</t>
        </is>
      </c>
      <c r="D236" s="2" t="inlineStr">
        <is>
          <t xml:space="preserve">Streaming – Peacock (via Roku)</t>
        </is>
      </c>
      <c r="E236" s="2" t="inlineStr">
        <is>
          <t xml:space="preserve">Streaming</t>
        </is>
      </c>
      <c r="F236" s="3">
        <v>11.73</v>
      </c>
    </row>
    <row r="237">
      <c r="A237" s="2" t="inlineStr">
        <is>
          <t xml:space="preserve">July 2026</t>
        </is>
      </c>
      <c r="B237" s="4">
        <v>46225</v>
      </c>
      <c r="C237" s="2" t="inlineStr">
        <is>
          <t xml:space="preserve">Bagel Dock Express Southport</t>
        </is>
      </c>
      <c r="D237" s="2" t="inlineStr">
        <is>
          <t xml:space="preserve">Restaurants &amp; Takeout</t>
        </is>
      </c>
      <c r="E237" s="2" t="inlineStr">
        <is>
          <t xml:space="preserve">Food</t>
        </is>
      </c>
      <c r="F237" s="3">
        <v>18.45</v>
      </c>
    </row>
    <row r="238">
      <c r="A238" s="2" t="inlineStr">
        <is>
          <t xml:space="preserve">July 2026</t>
        </is>
      </c>
      <c r="B238" s="4">
        <v>46225</v>
      </c>
      <c r="C238" s="2" t="inlineStr">
        <is>
          <t xml:space="preserve">Vtg*Sloane Realty 910-5796216</t>
        </is>
      </c>
      <c r="D238" s="2" t="inlineStr">
        <is>
          <t xml:space="preserve">Sloane Realty</t>
        </is>
      </c>
      <c r="E238" s="2" t="inlineStr">
        <is>
          <t xml:space="preserve">Excluded</t>
        </is>
      </c>
      <c r="F238" s="3">
        <v>2891.98</v>
      </c>
    </row>
    <row r="239">
      <c r="A239" s="2" t="inlineStr">
        <is>
          <t xml:space="preserve">July 2026</t>
        </is>
      </c>
      <c r="B239" s="4">
        <v>46225</v>
      </c>
      <c r="C239" s="2" t="inlineStr">
        <is>
          <t xml:space="preserve">McDonald's F35966 Supply NC</t>
        </is>
      </c>
      <c r="D239" s="2" t="inlineStr">
        <is>
          <t xml:space="preserve">Restaurants &amp; Takeout</t>
        </is>
      </c>
      <c r="E239" s="2" t="inlineStr">
        <is>
          <t xml:space="preserve">Food</t>
        </is>
      </c>
      <c r="F239" s="3">
        <v>8.92</v>
      </c>
    </row>
    <row r="240">
      <c r="A240" s="2" t="inlineStr">
        <is>
          <t xml:space="preserve">July 2026</t>
        </is>
      </c>
      <c r="B240" s="4">
        <v>46225</v>
      </c>
      <c r="C240" s="2" t="inlineStr">
        <is>
          <t xml:space="preserve">Help.Hbomax.Com</t>
        </is>
      </c>
      <c r="D240" s="2" t="inlineStr">
        <is>
          <t xml:space="preserve">Streaming – HBO Max</t>
        </is>
      </c>
      <c r="E240" s="2" t="inlineStr">
        <is>
          <t xml:space="preserve">Streaming</t>
        </is>
      </c>
      <c r="F240" s="3">
        <v>19.74</v>
      </c>
    </row>
    <row r="241">
      <c r="A241" s="2" t="inlineStr">
        <is>
          <t xml:space="preserve">July 2026</t>
        </is>
      </c>
      <c r="B241" s="4">
        <v>46226</v>
      </c>
      <c r="C241" s="2" t="inlineStr">
        <is>
          <t xml:space="preserve">Joey O's Brick Ove Ocean Isle Be</t>
        </is>
      </c>
      <c r="D241" s="2" t="inlineStr">
        <is>
          <t xml:space="preserve">Restaurants &amp; Takeout</t>
        </is>
      </c>
      <c r="E241" s="2" t="inlineStr">
        <is>
          <t xml:space="preserve">Food</t>
        </is>
      </c>
      <c r="F241" s="3">
        <v>32.67</v>
      </c>
    </row>
    <row r="242">
      <c r="A242" s="2" t="inlineStr">
        <is>
          <t xml:space="preserve">July 2026</t>
        </is>
      </c>
      <c r="B242" s="4">
        <v>46226</v>
      </c>
      <c r="C242" s="2" t="inlineStr">
        <is>
          <t xml:space="preserve">Ww Int'L-Digital</t>
        </is>
      </c>
      <c r="D242" s="2" t="inlineStr">
        <is>
          <t xml:space="preserve">Software &amp; Online Subscriptions</t>
        </is>
      </c>
      <c r="E242" s="2" t="inlineStr">
        <is>
          <t xml:space="preserve">Subscriptions</t>
        </is>
      </c>
      <c r="F242" s="3">
        <v>23.0</v>
      </c>
    </row>
    <row r="243">
      <c r="A243" s="2" t="inlineStr">
        <is>
          <t xml:space="preserve">July 2026</t>
        </is>
      </c>
      <c r="B243" s="4">
        <v>46226</v>
      </c>
      <c r="C243" s="2" t="inlineStr">
        <is>
          <t xml:space="preserve">Dust and Mop House</t>
        </is>
      </c>
      <c r="D243" s="2" t="inlineStr">
        <is>
          <t xml:space="preserve">Dust and Mop House</t>
        </is>
      </c>
      <c r="E243" s="2" t="inlineStr">
        <is>
          <t xml:space="preserve">Excluded</t>
        </is>
      </c>
      <c r="F243" s="3">
        <v>100.0</v>
      </c>
    </row>
    <row r="244">
      <c r="A244" s="2" t="inlineStr">
        <is>
          <t xml:space="preserve">July 2026</t>
        </is>
      </c>
      <c r="B244" s="4">
        <v>46226</v>
      </c>
      <c r="C244" s="2" t="inlineStr">
        <is>
          <t xml:space="preserve">Dollar General # Dg 11290</t>
        </is>
      </c>
      <c r="D244" s="2" t="inlineStr">
        <is>
          <t xml:space="preserve">Retail – Dollar Tree / Dollar General</t>
        </is>
      </c>
      <c r="E244" s="2" t="inlineStr">
        <is>
          <t xml:space="preserve">Retail</t>
        </is>
      </c>
      <c r="F244" s="3">
        <v>5.87</v>
      </c>
    </row>
    <row r="245">
      <c r="A245" s="2" t="inlineStr">
        <is>
          <t xml:space="preserve">August 2026</t>
        </is>
      </c>
      <c r="B245" s="4">
        <v>46227</v>
      </c>
      <c r="C245" s="2" t="inlineStr">
        <is>
          <t xml:space="preserve">LA Cucina Italiano Sunset Beach</t>
        </is>
      </c>
      <c r="D245" s="2" t="inlineStr">
        <is>
          <t xml:space="preserve">Restaurants &amp; Takeout</t>
        </is>
      </c>
      <c r="E245" s="2" t="inlineStr">
        <is>
          <t xml:space="preserve">Food</t>
        </is>
      </c>
      <c r="F245" s="3">
        <v>54.0</v>
      </c>
    </row>
    <row r="246">
      <c r="A246" s="2" t="inlineStr">
        <is>
          <t xml:space="preserve">August 2026</t>
        </is>
      </c>
      <c r="B246" s="4">
        <v>46230</v>
      </c>
      <c r="C246" s="2" t="inlineStr">
        <is>
          <t xml:space="preserve">Blondiez Donuts Calabash NC</t>
        </is>
      </c>
      <c r="D246" s="2" t="inlineStr">
        <is>
          <t xml:space="preserve">Restaurants &amp; Takeout</t>
        </is>
      </c>
      <c r="E246" s="2" t="inlineStr">
        <is>
          <t xml:space="preserve">Food</t>
        </is>
      </c>
      <c r="F246" s="3">
        <v>44.55</v>
      </c>
    </row>
    <row r="247">
      <c r="A247" s="2" t="inlineStr">
        <is>
          <t xml:space="preserve">August 2026</t>
        </is>
      </c>
      <c r="B247" s="4">
        <v>46230</v>
      </c>
      <c r="C247" s="2" t="inlineStr">
        <is>
          <t xml:space="preserve">LA Cucina Italiano Sunset Beach</t>
        </is>
      </c>
      <c r="D247" s="2" t="inlineStr">
        <is>
          <t xml:space="preserve">Restaurants &amp; Takeout</t>
        </is>
      </c>
      <c r="E247" s="2" t="inlineStr">
        <is>
          <t xml:space="preserve">Food</t>
        </is>
      </c>
      <c r="F247" s="3">
        <v>28.23</v>
      </c>
    </row>
    <row r="248">
      <c r="A248" s="2" t="inlineStr">
        <is>
          <t xml:space="preserve">August 2026</t>
        </is>
      </c>
      <c r="B248" s="4">
        <v>46230</v>
      </c>
      <c r="C248" s="2" t="inlineStr">
        <is>
          <t xml:space="preserve">Apple.Com/Bill</t>
        </is>
      </c>
      <c r="D248" s="2" t="inlineStr">
        <is>
          <t xml:space="preserve">Software &amp; Online Subscriptions</t>
        </is>
      </c>
      <c r="E248" s="2" t="inlineStr">
        <is>
          <t xml:space="preserve">Subscriptions</t>
        </is>
      </c>
      <c r="F248" s="3">
        <v>2.99</v>
      </c>
    </row>
    <row r="249">
      <c r="A249" s="2" t="inlineStr">
        <is>
          <t xml:space="preserve">August 2026</t>
        </is>
      </c>
      <c r="B249" s="4">
        <v>46230</v>
      </c>
      <c r="C249" s="2" t="inlineStr">
        <is>
          <t xml:space="preserve">Propertyrecs.Com</t>
        </is>
      </c>
      <c r="D249" s="2" t="inlineStr">
        <is>
          <t xml:space="preserve">Software &amp; Online Subscriptions</t>
        </is>
      </c>
      <c r="E249" s="2" t="inlineStr">
        <is>
          <t xml:space="preserve">Subscriptions</t>
        </is>
      </c>
      <c r="F249" s="3">
        <v>20.0</v>
      </c>
    </row>
    <row r="250">
      <c r="A250" s="2" t="inlineStr">
        <is>
          <t xml:space="preserve">August 2026</t>
        </is>
      </c>
      <c r="B250" s="4">
        <v>46230</v>
      </c>
      <c r="C250" s="2" t="inlineStr">
        <is>
          <t xml:space="preserve">McDonald's F35966 Supply NC</t>
        </is>
      </c>
      <c r="D250" s="2" t="inlineStr">
        <is>
          <t xml:space="preserve">Restaurants &amp; Takeout</t>
        </is>
      </c>
      <c r="E250" s="2" t="inlineStr">
        <is>
          <t xml:space="preserve">Food</t>
        </is>
      </c>
      <c r="F250" s="3">
        <v>9.6</v>
      </c>
    </row>
    <row r="251">
      <c r="A251" s="2" t="inlineStr">
        <is>
          <t xml:space="preserve">August 2026</t>
        </is>
      </c>
      <c r="B251" s="4">
        <v>46230</v>
      </c>
      <c r="C251" s="2" t="inlineStr">
        <is>
          <t xml:space="preserve">Openai *Chatgpt Su</t>
        </is>
      </c>
      <c r="D251" s="2" t="inlineStr">
        <is>
          <t xml:space="preserve">Software &amp; Online Subscriptions</t>
        </is>
      </c>
      <c r="E251" s="2" t="inlineStr">
        <is>
          <t xml:space="preserve">Subscriptions</t>
        </is>
      </c>
      <c r="F251" s="3">
        <v>20.0</v>
      </c>
    </row>
    <row r="252">
      <c r="A252" s="2" t="inlineStr">
        <is>
          <t xml:space="preserve">August 2026</t>
        </is>
      </c>
      <c r="B252" s="4">
        <v>46230</v>
      </c>
      <c r="C252" s="2" t="inlineStr">
        <is>
          <t xml:space="preserve">Hulu Santa Monica CA</t>
        </is>
      </c>
      <c r="D252" s="2" t="inlineStr">
        <is>
          <t xml:space="preserve">Streaming – Hulu</t>
        </is>
      </c>
      <c r="E252" s="2" t="inlineStr">
        <is>
          <t xml:space="preserve">Streaming</t>
        </is>
      </c>
      <c r="F252" s="3">
        <v>12.8</v>
      </c>
    </row>
    <row r="253">
      <c r="A253" s="2" t="inlineStr">
        <is>
          <t xml:space="preserve">August 2026</t>
        </is>
      </c>
      <c r="B253" s="4">
        <v>46230</v>
      </c>
      <c r="C253" s="2" t="inlineStr">
        <is>
          <t xml:space="preserve">Publix #1631 Ocean Isle Be NC</t>
        </is>
      </c>
      <c r="D253" s="2" t="inlineStr">
        <is>
          <t xml:space="preserve">Grocery – Publix</t>
        </is>
      </c>
      <c r="E253" s="2" t="inlineStr">
        <is>
          <t xml:space="preserve">Groceries</t>
        </is>
      </c>
      <c r="F253" s="3">
        <v>85.7</v>
      </c>
    </row>
    <row r="254">
      <c r="A254" s="2" t="inlineStr">
        <is>
          <t xml:space="preserve">August 2026</t>
        </is>
      </c>
      <c r="B254" s="4">
        <v>46230</v>
      </c>
      <c r="C254" s="2" t="inlineStr">
        <is>
          <t xml:space="preserve">American Express ACH Pmt W9082</t>
        </is>
      </c>
      <c r="D254" s="2" t="inlineStr">
        <is>
          <t xml:space="preserve">Credit Card Payoff – American Express</t>
        </is>
      </c>
      <c r="E254" s="2" t="inlineStr">
        <is>
          <t xml:space="preserve">Excluded</t>
        </is>
      </c>
      <c r="F254" s="3">
        <v>3929.91</v>
      </c>
    </row>
    <row r="255">
      <c r="A255" s="2" t="inlineStr">
        <is>
          <t xml:space="preserve">August 2026</t>
        </is>
      </c>
      <c r="B255" s="4">
        <v>46231</v>
      </c>
      <c r="C255" s="2" t="inlineStr">
        <is>
          <t xml:space="preserve">The Color Bar Hair Oak Island NC</t>
        </is>
      </c>
      <c r="D255" s="2" t="inlineStr">
        <is>
          <t xml:space="preserve">Haircuts – The Color Bar</t>
        </is>
      </c>
      <c r="E255" s="2" t="inlineStr">
        <is>
          <t xml:space="preserve">Personal</t>
        </is>
      </c>
      <c r="F255" s="3">
        <v>32.5</v>
      </c>
    </row>
    <row r="256">
      <c r="A256" s="2" t="inlineStr">
        <is>
          <t xml:space="preserve">August 2026</t>
        </is>
      </c>
      <c r="B256" s="4">
        <v>46232</v>
      </c>
      <c r="C256" s="2" t="inlineStr">
        <is>
          <t xml:space="preserve">Bemc - Ecc Amanda.Wheele NC</t>
        </is>
      </c>
      <c r="D256" s="2" t="inlineStr">
        <is>
          <t xml:space="preserve">Utility – Electric (BEMC)</t>
        </is>
      </c>
      <c r="E256" s="2" t="inlineStr">
        <is>
          <t xml:space="preserve">Utilities</t>
        </is>
      </c>
      <c r="F256" s="3">
        <v>406.96</v>
      </c>
    </row>
    <row r="257">
      <c r="A257" s="2" t="inlineStr">
        <is>
          <t xml:space="preserve">August 2026</t>
        </is>
      </c>
      <c r="B257" s="4">
        <v>46232</v>
      </c>
      <c r="C257" s="2" t="inlineStr">
        <is>
          <t xml:space="preserve">Focus Broadband Clover.Com NC</t>
        </is>
      </c>
      <c r="D257" s="2" t="inlineStr">
        <is>
          <t xml:space="preserve">Internet – Focus Broadband</t>
        </is>
      </c>
      <c r="E257" s="2" t="inlineStr">
        <is>
          <t xml:space="preserve">Phone &amp; Internet</t>
        </is>
      </c>
      <c r="F257" s="3">
        <v>80.79</v>
      </c>
    </row>
    <row r="258">
      <c r="A258" s="2" t="inlineStr">
        <is>
          <t xml:space="preserve">August 2026</t>
        </is>
      </c>
      <c r="B258" s="4">
        <v>46232</v>
      </c>
      <c r="C258" s="2" t="inlineStr">
        <is>
          <t xml:space="preserve">Pt *Dosher Hospita</t>
        </is>
      </c>
      <c r="D258" s="2" t="inlineStr">
        <is>
          <t xml:space="preserve">Medical – Dosher Hospital (Southport)</t>
        </is>
      </c>
      <c r="E258" s="2" t="inlineStr">
        <is>
          <t xml:space="preserve">Health</t>
        </is>
      </c>
      <c r="F258" s="3">
        <v>342.66</v>
      </c>
    </row>
    <row r="259">
      <c r="A259" s="2" t="inlineStr">
        <is>
          <t xml:space="preserve">August 2026</t>
        </is>
      </c>
      <c r="B259" s="4">
        <v>46232</v>
      </c>
      <c r="C259" s="2" t="inlineStr">
        <is>
          <t xml:space="preserve">Aci*Blue Cross NC</t>
        </is>
      </c>
      <c r="D259" s="2" t="inlineStr">
        <is>
          <t xml:space="preserve">Health Insurance – Blue Cross NC</t>
        </is>
      </c>
      <c r="E259" s="2" t="inlineStr">
        <is>
          <t xml:space="preserve">Insurance</t>
        </is>
      </c>
      <c r="F259" s="3">
        <v>432.5</v>
      </c>
    </row>
    <row r="260">
      <c r="A260" s="2" t="inlineStr">
        <is>
          <t xml:space="preserve">August 2026</t>
        </is>
      </c>
      <c r="B260" s="4">
        <v>46232</v>
      </c>
      <c r="C260" s="2" t="inlineStr">
        <is>
          <t xml:space="preserve">NC Quick Pass 877-769-7277 NC</t>
        </is>
      </c>
      <c r="D260" s="2" t="inlineStr">
        <is>
          <t xml:space="preserve">Tolls &amp; Parking</t>
        </is>
      </c>
      <c r="E260" s="2" t="inlineStr">
        <is>
          <t xml:space="preserve">Transportation</t>
        </is>
      </c>
      <c r="F260" s="3">
        <v>11.84</v>
      </c>
    </row>
    <row r="261">
      <c r="A261" s="2" t="inlineStr">
        <is>
          <t xml:space="preserve">August 2026</t>
        </is>
      </c>
      <c r="B261" s="4">
        <v>46232</v>
      </c>
      <c r="C261" s="2" t="inlineStr">
        <is>
          <t xml:space="preserve">Autobks*Nextgen LA</t>
        </is>
      </c>
      <c r="D261" s="2" t="inlineStr">
        <is>
          <t xml:space="preserve">Yard Company (NextGen)</t>
        </is>
      </c>
      <c r="E261" s="2" t="inlineStr">
        <is>
          <t xml:space="preserve">Home</t>
        </is>
      </c>
      <c r="F261" s="3">
        <v>100.0</v>
      </c>
    </row>
    <row r="262">
      <c r="A262" s="2" t="inlineStr">
        <is>
          <t xml:space="preserve">August 2026</t>
        </is>
      </c>
      <c r="B262" s="4">
        <v>46232</v>
      </c>
      <c r="C262" s="2" t="inlineStr">
        <is>
          <t xml:space="preserve">PY *Manning S Pest</t>
        </is>
      </c>
      <c r="D262" s="2" t="inlineStr">
        <is>
          <t xml:space="preserve">Home Services (Pest Control, Lawn Treatment)</t>
        </is>
      </c>
      <c r="E262" s="2" t="inlineStr">
        <is>
          <t xml:space="preserve">Home</t>
        </is>
      </c>
      <c r="F262" s="3">
        <v>104.0</v>
      </c>
    </row>
    <row r="263">
      <c r="A263" s="2" t="inlineStr">
        <is>
          <t xml:space="preserve">August 2026</t>
        </is>
      </c>
      <c r="B263" s="4">
        <v>46232</v>
      </c>
      <c r="C263" s="2" t="inlineStr">
        <is>
          <t xml:space="preserve">Google Youtube Tv</t>
        </is>
      </c>
      <c r="D263" s="2" t="inlineStr">
        <is>
          <t xml:space="preserve">Streaming – YouTube TV (Google)</t>
        </is>
      </c>
      <c r="E263" s="2" t="inlineStr">
        <is>
          <t xml:space="preserve">Streaming</t>
        </is>
      </c>
      <c r="F263" s="3">
        <v>89.0</v>
      </c>
    </row>
    <row r="264">
      <c r="A264" s="2" t="inlineStr">
        <is>
          <t xml:space="preserve">August 2026</t>
        </is>
      </c>
      <c r="B264" s="4">
        <v>46232</v>
      </c>
      <c r="C264" s="2" t="inlineStr">
        <is>
          <t xml:space="preserve">Thai &amp; Vine Oak Island NC</t>
        </is>
      </c>
      <c r="D264" s="2" t="inlineStr">
        <is>
          <t xml:space="preserve">Restaurants &amp; Takeout</t>
        </is>
      </c>
      <c r="E264" s="2" t="inlineStr">
        <is>
          <t xml:space="preserve">Food</t>
        </is>
      </c>
      <c r="F264" s="3">
        <v>49.73</v>
      </c>
    </row>
    <row r="265">
      <c r="A265" s="2" t="inlineStr">
        <is>
          <t xml:space="preserve">August 2026</t>
        </is>
      </c>
      <c r="B265" s="4">
        <v>46232</v>
      </c>
      <c r="C265" s="2" t="inlineStr">
        <is>
          <t xml:space="preserve">Beach Pantry Oak Island NC</t>
        </is>
      </c>
      <c r="D265" s="2" t="inlineStr">
        <is>
          <t xml:space="preserve">Other Food Stores (Harris Teeter, Beach Pantry)</t>
        </is>
      </c>
      <c r="E265" s="2" t="inlineStr">
        <is>
          <t xml:space="preserve">Food</t>
        </is>
      </c>
      <c r="F265" s="3">
        <v>5.85</v>
      </c>
    </row>
    <row r="266">
      <c r="A266" s="2" t="inlineStr">
        <is>
          <t xml:space="preserve">August 2026</t>
        </is>
      </c>
      <c r="B266" s="4">
        <v>46232</v>
      </c>
      <c r="C266" s="2" t="inlineStr">
        <is>
          <t xml:space="preserve">Roku for Disney El</t>
        </is>
      </c>
      <c r="D266" s="2" t="inlineStr">
        <is>
          <t xml:space="preserve">Streaming – Disney (via Roku)</t>
        </is>
      </c>
      <c r="E266" s="2" t="inlineStr">
        <is>
          <t xml:space="preserve">Streaming</t>
        </is>
      </c>
      <c r="F266" s="3">
        <v>20.27</v>
      </c>
    </row>
    <row r="267">
      <c r="A267" s="2" t="inlineStr">
        <is>
          <t xml:space="preserve">August 2026</t>
        </is>
      </c>
      <c r="B267" s="4">
        <v>46232</v>
      </c>
      <c r="C267" s="2" t="inlineStr">
        <is>
          <t xml:space="preserve">Circlek #2720915 5717 Castle</t>
        </is>
      </c>
      <c r="D267" s="2" t="inlineStr">
        <is>
          <t xml:space="preserve">Gas &amp; Convenience Stores</t>
        </is>
      </c>
      <c r="E267" s="2" t="inlineStr">
        <is>
          <t xml:space="preserve">Transportation</t>
        </is>
      </c>
      <c r="F267" s="3">
        <v>4.06</v>
      </c>
    </row>
    <row r="268">
      <c r="A268" s="2" t="inlineStr">
        <is>
          <t xml:space="preserve">August 2026</t>
        </is>
      </c>
      <c r="B268" s="4">
        <v>46232</v>
      </c>
      <c r="C268" s="2" t="inlineStr">
        <is>
          <t xml:space="preserve">Bp#2850600Summi Benson NC</t>
        </is>
      </c>
      <c r="D268" s="2" t="inlineStr">
        <is>
          <t xml:space="preserve">Gas &amp; Convenience Stores</t>
        </is>
      </c>
      <c r="E268" s="2" t="inlineStr">
        <is>
          <t xml:space="preserve">Transportation</t>
        </is>
      </c>
      <c r="F268" s="3">
        <v>47.8</v>
      </c>
    </row>
    <row r="269">
      <c r="A269" s="2" t="inlineStr">
        <is>
          <t xml:space="preserve">August 2026</t>
        </is>
      </c>
      <c r="B269" s="4">
        <v>46233</v>
      </c>
      <c r="C269" s="2" t="inlineStr">
        <is>
          <t xml:space="preserve">Opc*Brunswick CO U</t>
        </is>
      </c>
      <c r="D269" s="2" t="inlineStr">
        <is>
          <t xml:space="preserve">Utility – Water/Sewer (Brunswick County)</t>
        </is>
      </c>
      <c r="E269" s="2" t="inlineStr">
        <is>
          <t xml:space="preserve">Utilities</t>
        </is>
      </c>
      <c r="F269" s="3">
        <v>91.83</v>
      </c>
    </row>
    <row r="270">
      <c r="A270" s="2" t="inlineStr">
        <is>
          <t xml:space="preserve">August 2026</t>
        </is>
      </c>
      <c r="B270" s="4">
        <v>46233</v>
      </c>
      <c r="C270" s="2" t="inlineStr">
        <is>
          <t xml:space="preserve">Opc Utl*Service Fe</t>
        </is>
      </c>
      <c r="D270" s="2" t="inlineStr">
        <is>
          <t xml:space="preserve">Utility – Water/Sewer (Brunswick County)</t>
        </is>
      </c>
      <c r="E270" s="2" t="inlineStr">
        <is>
          <t xml:space="preserve">Utilities</t>
        </is>
      </c>
      <c r="F270" s="3">
        <v>2.95</v>
      </c>
    </row>
    <row r="271">
      <c r="A271" s="2" t="inlineStr">
        <is>
          <t xml:space="preserve">August 2026</t>
        </is>
      </c>
      <c r="B271" s="4">
        <v>46233</v>
      </c>
      <c r="C271" s="2" t="inlineStr">
        <is>
          <t xml:space="preserve">Bagel Dock Express Clover.Com</t>
        </is>
      </c>
      <c r="D271" s="2" t="inlineStr">
        <is>
          <t xml:space="preserve">Restaurants &amp; Takeout</t>
        </is>
      </c>
      <c r="E271" s="2" t="inlineStr">
        <is>
          <t xml:space="preserve">Food</t>
        </is>
      </c>
      <c r="F271" s="3">
        <v>28.06</v>
      </c>
    </row>
    <row r="272">
      <c r="A272" s="2" t="inlineStr">
        <is>
          <t xml:space="preserve">August 2026</t>
        </is>
      </c>
      <c r="B272" s="4">
        <v>46233</v>
      </c>
      <c r="C272" s="2" t="inlineStr">
        <is>
          <t xml:space="preserve">Piada-59 919-3710787 NC</t>
        </is>
      </c>
      <c r="D272" s="2" t="inlineStr">
        <is>
          <t xml:space="preserve">Restaurants &amp; Takeout</t>
        </is>
      </c>
      <c r="E272" s="2" t="inlineStr">
        <is>
          <t xml:space="preserve">Food</t>
        </is>
      </c>
      <c r="F272" s="3">
        <v>38.1</v>
      </c>
    </row>
    <row r="273">
      <c r="A273" s="2" t="inlineStr">
        <is>
          <t xml:space="preserve">August 2026</t>
        </is>
      </c>
      <c r="B273" s="4">
        <v>46233</v>
      </c>
      <c r="C273" s="2" t="inlineStr">
        <is>
          <t xml:space="preserve">Speedway 44655 Garner NC</t>
        </is>
      </c>
      <c r="D273" s="2" t="inlineStr">
        <is>
          <t xml:space="preserve">Gas &amp; Convenience Stores</t>
        </is>
      </c>
      <c r="E273" s="2" t="inlineStr">
        <is>
          <t xml:space="preserve">Transportation</t>
        </is>
      </c>
      <c r="F273" s="3">
        <v>6.78</v>
      </c>
    </row>
    <row r="274">
      <c r="A274" s="2" t="inlineStr">
        <is>
          <t xml:space="preserve">August 2026</t>
        </is>
      </c>
      <c r="B274" s="4">
        <v>46234</v>
      </c>
      <c r="C274" s="2" t="inlineStr">
        <is>
          <t xml:space="preserve">Raleigh Parking MO</t>
        </is>
      </c>
      <c r="D274" s="2" t="inlineStr">
        <is>
          <t xml:space="preserve">Tolls &amp; Parking</t>
        </is>
      </c>
      <c r="E274" s="2" t="inlineStr">
        <is>
          <t xml:space="preserve">Transportation</t>
        </is>
      </c>
      <c r="F274" s="3">
        <v>1.6</v>
      </c>
    </row>
    <row r="275">
      <c r="A275" s="2" t="inlineStr">
        <is>
          <t xml:space="preserve">August 2026</t>
        </is>
      </c>
      <c r="B275" s="4">
        <v>46234</v>
      </c>
      <c r="C275" s="2" t="inlineStr">
        <is>
          <t xml:space="preserve">Tst*NEW Raleigh Ti Raleigh NC</t>
        </is>
      </c>
      <c r="D275" s="2" t="inlineStr">
        <is>
          <t xml:space="preserve">Restaurants &amp; Takeout</t>
        </is>
      </c>
      <c r="E275" s="2" t="inlineStr">
        <is>
          <t xml:space="preserve">Food</t>
        </is>
      </c>
      <c r="F275" s="3">
        <v>64.59</v>
      </c>
    </row>
    <row r="276">
      <c r="A276" s="2" t="inlineStr">
        <is>
          <t xml:space="preserve">August 2026</t>
        </is>
      </c>
      <c r="B276" s="4">
        <v>46234</v>
      </c>
      <c r="C276" s="2" t="inlineStr">
        <is>
          <t xml:space="preserve">Raleigh Durham Emb Cary NC</t>
        </is>
      </c>
      <c r="D276" s="2" t="inlineStr">
        <is>
          <t xml:space="preserve">Tolls &amp; Parking</t>
        </is>
      </c>
      <c r="E276" s="2" t="inlineStr">
        <is>
          <t xml:space="preserve">Transportation</t>
        </is>
      </c>
      <c r="F276" s="3">
        <v>5.0</v>
      </c>
    </row>
    <row r="277">
      <c r="A277" s="2" t="inlineStr">
        <is>
          <t xml:space="preserve">August 2026</t>
        </is>
      </c>
      <c r="B277" s="4">
        <v>46234</v>
      </c>
      <c r="C277" s="2" t="inlineStr">
        <is>
          <t xml:space="preserve">Cvs/Pharmacy #0738 South Port</t>
        </is>
      </c>
      <c r="D277" s="2" t="inlineStr">
        <is>
          <t xml:space="preserve">CVS Pharmacy</t>
        </is>
      </c>
      <c r="E277" s="2" t="inlineStr">
        <is>
          <t xml:space="preserve">Health</t>
        </is>
      </c>
      <c r="F277" s="3">
        <v>202.55</v>
      </c>
    </row>
    <row r="278">
      <c r="A278" s="2" t="inlineStr">
        <is>
          <t xml:space="preserve">August 2026</t>
        </is>
      </c>
      <c r="B278" s="4">
        <v>46234</v>
      </c>
      <c r="C278" s="2" t="inlineStr">
        <is>
          <t xml:space="preserve">Wal-Mart #2772 Southport NC</t>
        </is>
      </c>
      <c r="D278" s="2" t="inlineStr">
        <is>
          <t xml:space="preserve">Retail – Walmart</t>
        </is>
      </c>
      <c r="E278" s="2" t="inlineStr">
        <is>
          <t xml:space="preserve">Retail</t>
        </is>
      </c>
      <c r="F278" s="3">
        <v>1461.9</v>
      </c>
    </row>
    <row r="279">
      <c r="A279" s="2" t="inlineStr">
        <is>
          <t xml:space="preserve">August 2026</t>
        </is>
      </c>
      <c r="B279" s="4">
        <v>46237</v>
      </c>
      <c r="C279" s="2" t="inlineStr">
        <is>
          <t xml:space="preserve">Wendys 1359 Creedmoor NC</t>
        </is>
      </c>
      <c r="D279" s="2" t="inlineStr">
        <is>
          <t xml:space="preserve">Restaurants &amp; Takeout</t>
        </is>
      </c>
      <c r="E279" s="2" t="inlineStr">
        <is>
          <t xml:space="preserve">Food</t>
        </is>
      </c>
      <c r="F279" s="3">
        <v>16.52</v>
      </c>
    </row>
    <row r="280">
      <c r="A280" s="2" t="inlineStr">
        <is>
          <t xml:space="preserve">August 2026</t>
        </is>
      </c>
      <c r="B280" s="4">
        <v>46237</v>
      </c>
      <c r="C280" s="2" t="inlineStr">
        <is>
          <t xml:space="preserve">Wendys 333 Garner NC</t>
        </is>
      </c>
      <c r="D280" s="2" t="inlineStr">
        <is>
          <t xml:space="preserve">Restaurants &amp; Takeout</t>
        </is>
      </c>
      <c r="E280" s="2" t="inlineStr">
        <is>
          <t xml:space="preserve">Food</t>
        </is>
      </c>
      <c r="F280" s="3">
        <v>14.48</v>
      </c>
    </row>
    <row r="281">
      <c r="A281" s="2" t="inlineStr">
        <is>
          <t xml:space="preserve">August 2026</t>
        </is>
      </c>
      <c r="B281" s="4">
        <v>46237</v>
      </c>
      <c r="C281" s="2" t="inlineStr">
        <is>
          <t xml:space="preserve">Burney's Bakery of Southport NC</t>
        </is>
      </c>
      <c r="D281" s="2" t="inlineStr">
        <is>
          <t xml:space="preserve">Restaurants &amp; Takeout</t>
        </is>
      </c>
      <c r="E281" s="2" t="inlineStr">
        <is>
          <t xml:space="preserve">Food</t>
        </is>
      </c>
      <c r="F281" s="3">
        <v>9.27</v>
      </c>
    </row>
    <row r="282">
      <c r="A282" s="2" t="inlineStr">
        <is>
          <t xml:space="preserve">August 2026</t>
        </is>
      </c>
      <c r="B282" s="4">
        <v>46237</v>
      </c>
      <c r="C282" s="2" t="inlineStr">
        <is>
          <t xml:space="preserve">DD *Doordash Sanfe</t>
        </is>
      </c>
      <c r="D282" s="2" t="inlineStr">
        <is>
          <t xml:space="preserve">Restaurants &amp; Takeout</t>
        </is>
      </c>
      <c r="E282" s="2" t="inlineStr">
        <is>
          <t xml:space="preserve">Food</t>
        </is>
      </c>
      <c r="F282" s="3">
        <v>55.64</v>
      </c>
    </row>
    <row r="283">
      <c r="A283" s="2" t="inlineStr">
        <is>
          <t xml:space="preserve">August 2026</t>
        </is>
      </c>
      <c r="B283" s="4">
        <v>46237</v>
      </c>
      <c r="C283" s="2" t="inlineStr">
        <is>
          <t xml:space="preserve">Allstate *Payme 800-255-7828</t>
        </is>
      </c>
      <c r="D283" s="2" t="inlineStr">
        <is>
          <t xml:space="preserve">Allstate Insurance</t>
        </is>
      </c>
      <c r="E283" s="2" t="inlineStr">
        <is>
          <t xml:space="preserve">Insurance</t>
        </is>
      </c>
      <c r="F283" s="3">
        <v>115.0</v>
      </c>
    </row>
    <row r="284">
      <c r="A284" s="2" t="inlineStr">
        <is>
          <t xml:space="preserve">August 2026</t>
        </is>
      </c>
      <c r="B284" s="4">
        <v>46237</v>
      </c>
      <c r="C284" s="2" t="inlineStr">
        <is>
          <t xml:space="preserve">Publix #1703 Oak Island NC</t>
        </is>
      </c>
      <c r="D284" s="2" t="inlineStr">
        <is>
          <t xml:space="preserve">Grocery – Publix</t>
        </is>
      </c>
      <c r="E284" s="2" t="inlineStr">
        <is>
          <t xml:space="preserve">Groceries</t>
        </is>
      </c>
      <c r="F284" s="3">
        <v>239.44</v>
      </c>
    </row>
    <row r="285">
      <c r="A285" s="2" t="inlineStr">
        <is>
          <t xml:space="preserve">August 2026</t>
        </is>
      </c>
      <c r="B285" s="4">
        <v>46237</v>
      </c>
      <c r="C285" s="2" t="inlineStr">
        <is>
          <t xml:space="preserve">7-Eleven Myrtle Beach SC</t>
        </is>
      </c>
      <c r="D285" s="2" t="inlineStr">
        <is>
          <t xml:space="preserve">Gas &amp; Convenience Stores</t>
        </is>
      </c>
      <c r="E285" s="2" t="inlineStr">
        <is>
          <t xml:space="preserve">Transportation</t>
        </is>
      </c>
      <c r="F285" s="3">
        <v>9.47</v>
      </c>
    </row>
    <row r="286">
      <c r="A286" s="2" t="inlineStr">
        <is>
          <t xml:space="preserve">August 2026</t>
        </is>
      </c>
      <c r="B286" s="4">
        <v>46237</v>
      </c>
      <c r="C286" s="2" t="inlineStr">
        <is>
          <t xml:space="preserve">Circlek #2723140 3498 Little</t>
        </is>
      </c>
      <c r="D286" s="2" t="inlineStr">
        <is>
          <t xml:space="preserve">Gas &amp; Convenience Stores</t>
        </is>
      </c>
      <c r="E286" s="2" t="inlineStr">
        <is>
          <t xml:space="preserve">Transportation</t>
        </is>
      </c>
      <c r="F286" s="3">
        <v>46.23</v>
      </c>
    </row>
    <row r="287">
      <c r="A287" s="2" t="inlineStr">
        <is>
          <t xml:space="preserve">August 2026</t>
        </is>
      </c>
      <c r="B287" s="4">
        <v>46238</v>
      </c>
      <c r="C287" s="2" t="inlineStr">
        <is>
          <t xml:space="preserve">DD/Br #338554 Q35 Little River</t>
        </is>
      </c>
      <c r="D287" s="2" t="inlineStr">
        <is>
          <t xml:space="preserve">Restaurants &amp; Takeout</t>
        </is>
      </c>
      <c r="E287" s="2" t="inlineStr">
        <is>
          <t xml:space="preserve">Food</t>
        </is>
      </c>
      <c r="F287" s="3">
        <v>10.91</v>
      </c>
    </row>
    <row r="288">
      <c r="A288" s="2" t="inlineStr">
        <is>
          <t xml:space="preserve">August 2026</t>
        </is>
      </c>
      <c r="B288" s="4">
        <v>46238</v>
      </c>
      <c r="C288" s="2" t="inlineStr">
        <is>
          <t xml:space="preserve">Lowe's Foods #1 Oak Island NC</t>
        </is>
      </c>
      <c r="D288" s="2" t="inlineStr">
        <is>
          <t xml:space="preserve">Grocery – Lowes Foods</t>
        </is>
      </c>
      <c r="E288" s="2" t="inlineStr">
        <is>
          <t xml:space="preserve">Groceries</t>
        </is>
      </c>
      <c r="F288" s="3">
        <v>63.82</v>
      </c>
    </row>
    <row r="289">
      <c r="A289" s="2" t="inlineStr">
        <is>
          <t xml:space="preserve">August 2026</t>
        </is>
      </c>
      <c r="B289" s="4">
        <v>46238</v>
      </c>
      <c r="C289" s="2" t="inlineStr">
        <is>
          <t xml:space="preserve">Dollartree Southport NC</t>
        </is>
      </c>
      <c r="D289" s="2" t="inlineStr">
        <is>
          <t xml:space="preserve">Retail – Dollar Tree / Dollar General</t>
        </is>
      </c>
      <c r="E289" s="2" t="inlineStr">
        <is>
          <t xml:space="preserve">Retail</t>
        </is>
      </c>
      <c r="F289" s="3">
        <v>17.35</v>
      </c>
    </row>
    <row r="290">
      <c r="A290" s="2" t="inlineStr">
        <is>
          <t xml:space="preserve">August 2026</t>
        </is>
      </c>
      <c r="B290" s="4">
        <v>46238</v>
      </c>
      <c r="C290" s="2" t="inlineStr">
        <is>
          <t xml:space="preserve">Hobbylobby Southport NC</t>
        </is>
      </c>
      <c r="D290" s="2" t="inlineStr">
        <is>
          <t xml:space="preserve">Retail – Hobby Lobby</t>
        </is>
      </c>
      <c r="E290" s="2" t="inlineStr">
        <is>
          <t xml:space="preserve">Retail</t>
        </is>
      </c>
      <c r="F290" s="3">
        <v>20.66</v>
      </c>
    </row>
    <row r="291">
      <c r="A291" s="2" t="inlineStr">
        <is>
          <t xml:space="preserve">August 2026</t>
        </is>
      </c>
      <c r="B291" s="4">
        <v>46238</v>
      </c>
      <c r="C291" s="2" t="inlineStr">
        <is>
          <t xml:space="preserve">Food Lion #2223 4891 L</t>
        </is>
      </c>
      <c r="D291" s="2" t="inlineStr">
        <is>
          <t xml:space="preserve">Grocery – Food Lion</t>
        </is>
      </c>
      <c r="E291" s="2" t="inlineStr">
        <is>
          <t xml:space="preserve">Groceries</t>
        </is>
      </c>
      <c r="F291" s="3">
        <v>77.34</v>
      </c>
    </row>
    <row r="292">
      <c r="A292" s="2" t="inlineStr">
        <is>
          <t xml:space="preserve">August 2026</t>
        </is>
      </c>
      <c r="B292" s="4">
        <v>46239</v>
      </c>
      <c r="C292" s="2" t="inlineStr">
        <is>
          <t xml:space="preserve">Del Taco 1615 Myrtle Beach SC</t>
        </is>
      </c>
      <c r="D292" s="2" t="inlineStr">
        <is>
          <t xml:space="preserve">Restaurants &amp; Takeout</t>
        </is>
      </c>
      <c r="E292" s="2" t="inlineStr">
        <is>
          <t xml:space="preserve">Food</t>
        </is>
      </c>
      <c r="F292" s="3">
        <v>18.1</v>
      </c>
    </row>
    <row r="293">
      <c r="A293" s="2" t="inlineStr">
        <is>
          <t xml:space="preserve">August 2026</t>
        </is>
      </c>
      <c r="B293" s="4">
        <v>46239</v>
      </c>
      <c r="C293" s="2" t="inlineStr">
        <is>
          <t xml:space="preserve">Autobks*Nextgen LA</t>
        </is>
      </c>
      <c r="D293" s="2" t="inlineStr">
        <is>
          <t xml:space="preserve">Yard Company (NextGen)</t>
        </is>
      </c>
      <c r="E293" s="2" t="inlineStr">
        <is>
          <t xml:space="preserve">Home</t>
        </is>
      </c>
      <c r="F293" s="3">
        <v>60.0</v>
      </c>
    </row>
    <row r="294">
      <c r="A294" s="2" t="inlineStr">
        <is>
          <t xml:space="preserve">August 2026</t>
        </is>
      </c>
      <c r="B294" s="4">
        <v>46239</v>
      </c>
      <c r="C294" s="2" t="inlineStr">
        <is>
          <t xml:space="preserve">Frndlytv Inc*+ 1Ad</t>
        </is>
      </c>
      <c r="D294" s="2" t="inlineStr">
        <is>
          <t xml:space="preserve">Streaming – Frndly TV</t>
        </is>
      </c>
      <c r="E294" s="2" t="inlineStr">
        <is>
          <t xml:space="preserve">Streaming</t>
        </is>
      </c>
      <c r="F294" s="3">
        <v>22.41</v>
      </c>
    </row>
    <row r="295">
      <c r="A295" s="2" t="inlineStr">
        <is>
          <t xml:space="preserve">August 2026</t>
        </is>
      </c>
      <c r="B295" s="4">
        <v>46239</v>
      </c>
      <c r="C295" s="2" t="inlineStr">
        <is>
          <t xml:space="preserve">Publix #1703 Oak Island NC</t>
        </is>
      </c>
      <c r="D295" s="2" t="inlineStr">
        <is>
          <t xml:space="preserve">Grocery – Publix</t>
        </is>
      </c>
      <c r="E295" s="2" t="inlineStr">
        <is>
          <t xml:space="preserve">Groceries</t>
        </is>
      </c>
      <c r="F295" s="3">
        <v>15.39</v>
      </c>
    </row>
    <row r="296">
      <c r="A296" s="2" t="inlineStr">
        <is>
          <t xml:space="preserve">August 2026</t>
        </is>
      </c>
      <c r="B296" s="4">
        <v>46239</v>
      </c>
      <c r="C296" s="2" t="inlineStr">
        <is>
          <t xml:space="preserve">Dust and Mop House</t>
        </is>
      </c>
      <c r="D296" s="2" t="inlineStr">
        <is>
          <t xml:space="preserve">Dust and Mop House</t>
        </is>
      </c>
      <c r="E296" s="2" t="inlineStr">
        <is>
          <t xml:space="preserve">Excluded</t>
        </is>
      </c>
      <c r="F296" s="3">
        <v>432.6</v>
      </c>
    </row>
    <row r="297">
      <c r="A297" s="2" t="inlineStr">
        <is>
          <t xml:space="preserve">August 2026</t>
        </is>
      </c>
      <c r="B297" s="4">
        <v>46239</v>
      </c>
      <c r="C297" s="2" t="inlineStr">
        <is>
          <t xml:space="preserve">Check #102</t>
        </is>
      </c>
      <c r="D297" s="2" t="inlineStr">
        <is>
          <t xml:space="preserve">Checks Written (payee not shown)</t>
        </is>
      </c>
      <c r="E297" s="2" t="inlineStr">
        <is>
          <t xml:space="preserve">Excluded</t>
        </is>
      </c>
      <c r="F297" s="3">
        <v>378.0</v>
      </c>
    </row>
    <row r="298">
      <c r="A298" s="2" t="inlineStr">
        <is>
          <t xml:space="preserve">August 2026</t>
        </is>
      </c>
      <c r="B298" s="4">
        <v>46240</v>
      </c>
      <c r="C298" s="2" t="inlineStr">
        <is>
          <t xml:space="preserve">Cvs/Pharmacy #0738 South Port</t>
        </is>
      </c>
      <c r="D298" s="2" t="inlineStr">
        <is>
          <t xml:space="preserve">CVS Pharmacy</t>
        </is>
      </c>
      <c r="E298" s="2" t="inlineStr">
        <is>
          <t xml:space="preserve">Health</t>
        </is>
      </c>
      <c r="F298" s="3">
        <v>149.55</v>
      </c>
    </row>
    <row r="299">
      <c r="A299" s="2" t="inlineStr">
        <is>
          <t xml:space="preserve">August 2026</t>
        </is>
      </c>
      <c r="B299" s="4">
        <v>46240</v>
      </c>
      <c r="C299" s="2" t="inlineStr">
        <is>
          <t xml:space="preserve">Lowes Foods #27 Southport NC</t>
        </is>
      </c>
      <c r="D299" s="2" t="inlineStr">
        <is>
          <t xml:space="preserve">Grocery – Lowes Foods</t>
        </is>
      </c>
      <c r="E299" s="2" t="inlineStr">
        <is>
          <t xml:space="preserve">Groceries</t>
        </is>
      </c>
      <c r="F299" s="3">
        <v>60.15</v>
      </c>
    </row>
    <row r="300">
      <c r="A300" s="2" t="inlineStr">
        <is>
          <t xml:space="preserve">August 2026</t>
        </is>
      </c>
      <c r="B300" s="4">
        <v>46240</v>
      </c>
      <c r="C300" s="2" t="inlineStr">
        <is>
          <t xml:space="preserve">Delta Dental of Delta Dent</t>
        </is>
      </c>
      <c r="D300" s="2" t="inlineStr">
        <is>
          <t xml:space="preserve">Dental Insurance – Delta Dental</t>
        </is>
      </c>
      <c r="E300" s="2" t="inlineStr">
        <is>
          <t xml:space="preserve">Insurance</t>
        </is>
      </c>
      <c r="F300" s="3">
        <v>69.36</v>
      </c>
    </row>
    <row r="301">
      <c r="A301" s="2" t="inlineStr">
        <is>
          <t xml:space="preserve">August 2026</t>
        </is>
      </c>
      <c r="B301" s="4">
        <v>46240</v>
      </c>
      <c r="C301" s="2" t="inlineStr">
        <is>
          <t xml:space="preserve">Wtw Ccc Tccc 2026Aug</t>
        </is>
      </c>
      <c r="D301" s="2" t="inlineStr">
        <is>
          <t xml:space="preserve">WTW Health Premium (reimbursed by Via Benefits)</t>
        </is>
      </c>
      <c r="E301" s="2" t="inlineStr">
        <is>
          <t xml:space="preserve">Excluded</t>
        </is>
      </c>
      <c r="F301" s="3">
        <v>2576.0</v>
      </c>
    </row>
    <row r="302">
      <c r="A302" s="2" t="inlineStr">
        <is>
          <t xml:space="preserve">August 2026</t>
        </is>
      </c>
      <c r="B302" s="4">
        <v>46241</v>
      </c>
      <c r="C302" s="2" t="inlineStr">
        <is>
          <t xml:space="preserve">Venmo *Jared Tinstman</t>
        </is>
      </c>
      <c r="D302" s="2" t="inlineStr">
        <is>
          <t xml:space="preserve">Transfers to People (Venmo/Zelle)</t>
        </is>
      </c>
      <c r="E302" s="2" t="inlineStr">
        <is>
          <t xml:space="preserve">Transfers</t>
        </is>
      </c>
      <c r="F302" s="3">
        <v>331.5</v>
      </c>
    </row>
    <row r="303">
      <c r="A303" s="2" t="inlineStr">
        <is>
          <t xml:space="preserve">August 2026</t>
        </is>
      </c>
      <c r="B303" s="4">
        <v>46241</v>
      </c>
      <c r="C303" s="2" t="inlineStr">
        <is>
          <t xml:space="preserve">Lowe's #682 Southport NC</t>
        </is>
      </c>
      <c r="D303" s="2" t="inlineStr">
        <is>
          <t xml:space="preserve">Retail – Lowe's (home improvement)</t>
        </is>
      </c>
      <c r="E303" s="2" t="inlineStr">
        <is>
          <t xml:space="preserve">Retail</t>
        </is>
      </c>
      <c r="F303" s="3">
        <v>171.55</v>
      </c>
    </row>
    <row r="304">
      <c r="A304" s="2" t="inlineStr">
        <is>
          <t xml:space="preserve">August 2026</t>
        </is>
      </c>
      <c r="B304" s="4">
        <v>46244</v>
      </c>
      <c r="C304" s="2" t="inlineStr">
        <is>
          <t xml:space="preserve">Focus Broadband Clover.Com NC</t>
        </is>
      </c>
      <c r="D304" s="2" t="inlineStr">
        <is>
          <t xml:space="preserve">Internet – Focus Broadband</t>
        </is>
      </c>
      <c r="E304" s="2" t="inlineStr">
        <is>
          <t xml:space="preserve">Phone &amp; Internet</t>
        </is>
      </c>
      <c r="F304" s="3">
        <v>80.79</v>
      </c>
    </row>
    <row r="305">
      <c r="A305" s="2" t="inlineStr">
        <is>
          <t xml:space="preserve">August 2026</t>
        </is>
      </c>
      <c r="B305" s="4">
        <v>46244</v>
      </c>
      <c r="C305" s="2" t="inlineStr">
        <is>
          <t xml:space="preserve">McDonald's F7702 Southport NC</t>
        </is>
      </c>
      <c r="D305" s="2" t="inlineStr">
        <is>
          <t xml:space="preserve">Restaurants &amp; Takeout</t>
        </is>
      </c>
      <c r="E305" s="2" t="inlineStr">
        <is>
          <t xml:space="preserve">Food</t>
        </is>
      </c>
      <c r="F305" s="3">
        <v>7.76</v>
      </c>
    </row>
    <row r="306">
      <c r="A306" s="2" t="inlineStr">
        <is>
          <t xml:space="preserve">August 2026</t>
        </is>
      </c>
      <c r="B306" s="4">
        <v>46244</v>
      </c>
      <c r="C306" s="2" t="inlineStr">
        <is>
          <t xml:space="preserve">Surf Cinema 4 B&amp;M Southport</t>
        </is>
      </c>
      <c r="D306" s="2" t="inlineStr">
        <is>
          <t xml:space="preserve">Entertainment (Surf Cinema)</t>
        </is>
      </c>
      <c r="E306" s="2" t="inlineStr">
        <is>
          <t xml:space="preserve">Recreation</t>
        </is>
      </c>
      <c r="F306" s="3">
        <v>13.5</v>
      </c>
    </row>
    <row r="307">
      <c r="A307" s="2" t="inlineStr">
        <is>
          <t xml:space="preserve">August 2026</t>
        </is>
      </c>
      <c r="B307" s="4">
        <v>46244</v>
      </c>
      <c r="C307" s="2" t="inlineStr">
        <is>
          <t xml:space="preserve">San Felipe Mexican</t>
        </is>
      </c>
      <c r="D307" s="2" t="inlineStr">
        <is>
          <t xml:space="preserve">Restaurants &amp; Takeout</t>
        </is>
      </c>
      <c r="E307" s="2" t="inlineStr">
        <is>
          <t xml:space="preserve">Food</t>
        </is>
      </c>
      <c r="F307" s="3">
        <v>53.26</v>
      </c>
    </row>
    <row r="308">
      <c r="A308" s="2" t="inlineStr">
        <is>
          <t xml:space="preserve">August 2026</t>
        </is>
      </c>
      <c r="B308" s="4">
        <v>46244</v>
      </c>
      <c r="C308" s="2" t="inlineStr">
        <is>
          <t xml:space="preserve">WM Supercenter #2772</t>
        </is>
      </c>
      <c r="D308" s="2" t="inlineStr">
        <is>
          <t xml:space="preserve">Retail – Walmart</t>
        </is>
      </c>
      <c r="E308" s="2" t="inlineStr">
        <is>
          <t xml:space="preserve">Retail</t>
        </is>
      </c>
      <c r="F308" s="3">
        <v>145.54</v>
      </c>
    </row>
    <row r="309">
      <c r="A309" s="2" t="inlineStr">
        <is>
          <t xml:space="preserve">August 2026</t>
        </is>
      </c>
      <c r="B309" s="4">
        <v>46244</v>
      </c>
      <c r="C309" s="2" t="inlineStr">
        <is>
          <t xml:space="preserve">Banner Life Prem Debit 17180884647</t>
        </is>
      </c>
      <c r="D309" s="2" t="inlineStr">
        <is>
          <t xml:space="preserve">Banner Life Insurance</t>
        </is>
      </c>
      <c r="E309" s="2" t="inlineStr">
        <is>
          <t xml:space="preserve">Insurance</t>
        </is>
      </c>
      <c r="F309" s="3">
        <v>710.06</v>
      </c>
    </row>
    <row r="310">
      <c r="A310" s="2" t="inlineStr">
        <is>
          <t xml:space="preserve">August 2026</t>
        </is>
      </c>
      <c r="B310" s="4">
        <v>46245</v>
      </c>
      <c r="C310" s="2" t="inlineStr">
        <is>
          <t xml:space="preserve">Propertyrecs.Com</t>
        </is>
      </c>
      <c r="D310" s="2" t="inlineStr">
        <is>
          <t xml:space="preserve">Software &amp; Online Subscriptions</t>
        </is>
      </c>
      <c r="E310" s="2" t="inlineStr">
        <is>
          <t xml:space="preserve">Subscriptions</t>
        </is>
      </c>
      <c r="F310" s="3">
        <v>20.0</v>
      </c>
    </row>
    <row r="311">
      <c r="A311" s="2" t="inlineStr">
        <is>
          <t xml:space="preserve">August 2026</t>
        </is>
      </c>
      <c r="B311" s="4">
        <v>46245</v>
      </c>
      <c r="C311" s="2" t="inlineStr">
        <is>
          <t xml:space="preserve">Publix #1703 Oak Island NC</t>
        </is>
      </c>
      <c r="D311" s="2" t="inlineStr">
        <is>
          <t xml:space="preserve">Grocery – Publix</t>
        </is>
      </c>
      <c r="E311" s="2" t="inlineStr">
        <is>
          <t xml:space="preserve">Groceries</t>
        </is>
      </c>
      <c r="F311" s="3">
        <v>182.15</v>
      </c>
    </row>
    <row r="312">
      <c r="A312" s="2" t="inlineStr">
        <is>
          <t xml:space="preserve">August 2026</t>
        </is>
      </c>
      <c r="B312" s="4">
        <v>46245</v>
      </c>
      <c r="C312" s="2" t="inlineStr">
        <is>
          <t xml:space="preserve">Check #518</t>
        </is>
      </c>
      <c r="D312" s="2" t="inlineStr">
        <is>
          <t xml:space="preserve">Checks Written (payee not shown)</t>
        </is>
      </c>
      <c r="E312" s="2" t="inlineStr">
        <is>
          <t xml:space="preserve">Excluded</t>
        </is>
      </c>
      <c r="F312" s="3">
        <v>150.0</v>
      </c>
    </row>
    <row r="313">
      <c r="A313" s="2" t="inlineStr">
        <is>
          <t xml:space="preserve">August 2026</t>
        </is>
      </c>
      <c r="B313" s="4">
        <v>46246</v>
      </c>
      <c r="C313" s="2" t="inlineStr">
        <is>
          <t xml:space="preserve">Opc*Brunswick CO U</t>
        </is>
      </c>
      <c r="D313" s="2" t="inlineStr">
        <is>
          <t xml:space="preserve">Utility – Water/Sewer (Brunswick County)</t>
        </is>
      </c>
      <c r="E313" s="2" t="inlineStr">
        <is>
          <t xml:space="preserve">Utilities</t>
        </is>
      </c>
      <c r="F313" s="3">
        <v>81.6</v>
      </c>
    </row>
    <row r="314">
      <c r="A314" s="2" t="inlineStr">
        <is>
          <t xml:space="preserve">August 2026</t>
        </is>
      </c>
      <c r="B314" s="4">
        <v>46246</v>
      </c>
      <c r="C314" s="2" t="inlineStr">
        <is>
          <t xml:space="preserve">Opc Utl*Service Fe</t>
        </is>
      </c>
      <c r="D314" s="2" t="inlineStr">
        <is>
          <t xml:space="preserve">Utility – Water/Sewer (Brunswick County)</t>
        </is>
      </c>
      <c r="E314" s="2" t="inlineStr">
        <is>
          <t xml:space="preserve">Utilities</t>
        </is>
      </c>
      <c r="F314" s="3">
        <v>2.95</v>
      </c>
    </row>
    <row r="315">
      <c r="A315" s="2" t="inlineStr">
        <is>
          <t xml:space="preserve">August 2026</t>
        </is>
      </c>
      <c r="B315" s="4">
        <v>46247</v>
      </c>
      <c r="C315" s="2" t="inlineStr">
        <is>
          <t xml:space="preserve">Jersey Mikes 3265 Oak Island NC</t>
        </is>
      </c>
      <c r="D315" s="2" t="inlineStr">
        <is>
          <t xml:space="preserve">Restaurants &amp; Takeout</t>
        </is>
      </c>
      <c r="E315" s="2" t="inlineStr">
        <is>
          <t xml:space="preserve">Food</t>
        </is>
      </c>
      <c r="F315" s="3">
        <v>17.73</v>
      </c>
    </row>
    <row r="316">
      <c r="A316" s="2" t="inlineStr">
        <is>
          <t xml:space="preserve">August 2026</t>
        </is>
      </c>
      <c r="B316" s="4">
        <v>46247</v>
      </c>
      <c r="C316" s="2" t="inlineStr">
        <is>
          <t xml:space="preserve">Espn 800-7271800 NY</t>
        </is>
      </c>
      <c r="D316" s="2" t="inlineStr">
        <is>
          <t xml:space="preserve">Streaming – ESPN (Sept billed as Disney Plus)</t>
        </is>
      </c>
      <c r="E316" s="2" t="inlineStr">
        <is>
          <t xml:space="preserve">Streaming</t>
        </is>
      </c>
      <c r="F316" s="3">
        <v>13.87</v>
      </c>
    </row>
    <row r="317">
      <c r="A317" s="2" t="inlineStr">
        <is>
          <t xml:space="preserve">August 2026</t>
        </is>
      </c>
      <c r="B317" s="4">
        <v>46248</v>
      </c>
      <c r="C317" s="2" t="inlineStr">
        <is>
          <t xml:space="preserve">Pt *Dosher Hospita Southport</t>
        </is>
      </c>
      <c r="D317" s="2" t="inlineStr">
        <is>
          <t xml:space="preserve">Medical – Dosher Hospital (Southport)</t>
        </is>
      </c>
      <c r="E317" s="2" t="inlineStr">
        <is>
          <t xml:space="preserve">Health</t>
        </is>
      </c>
      <c r="F317" s="3">
        <v>125.0</v>
      </c>
    </row>
    <row r="318">
      <c r="A318" s="2" t="inlineStr">
        <is>
          <t xml:space="preserve">August 2026</t>
        </is>
      </c>
      <c r="B318" s="4">
        <v>46248</v>
      </c>
      <c r="C318" s="2" t="inlineStr">
        <is>
          <t xml:space="preserve">Homesense #2009 Wilmington</t>
        </is>
      </c>
      <c r="D318" s="2" t="inlineStr">
        <is>
          <t xml:space="preserve">Retail – HomeSense</t>
        </is>
      </c>
      <c r="E318" s="2" t="inlineStr">
        <is>
          <t xml:space="preserve">Retail</t>
        </is>
      </c>
      <c r="F318" s="3">
        <v>88.7</v>
      </c>
    </row>
    <row r="319">
      <c r="A319" s="2" t="inlineStr">
        <is>
          <t xml:space="preserve">August 2026</t>
        </is>
      </c>
      <c r="B319" s="4">
        <v>46248</v>
      </c>
      <c r="C319" s="2" t="inlineStr">
        <is>
          <t xml:space="preserve">Dillards 156 Westfield</t>
        </is>
      </c>
      <c r="D319" s="2" t="inlineStr">
        <is>
          <t xml:space="preserve">Retail – Dillard's</t>
        </is>
      </c>
      <c r="E319" s="2" t="inlineStr">
        <is>
          <t xml:space="preserve">Retail</t>
        </is>
      </c>
      <c r="F319" s="3">
        <v>120.44</v>
      </c>
    </row>
    <row r="320">
      <c r="A320" s="2" t="inlineStr">
        <is>
          <t xml:space="preserve">August 2026</t>
        </is>
      </c>
      <c r="B320" s="4">
        <v>46248</v>
      </c>
      <c r="C320" s="2" t="inlineStr">
        <is>
          <t xml:space="preserve">Dept Education Student Ln 0000</t>
        </is>
      </c>
      <c r="D320" s="2" t="inlineStr">
        <is>
          <t xml:space="preserve">Student Loan (Dept of Education)</t>
        </is>
      </c>
      <c r="E320" s="2" t="inlineStr">
        <is>
          <t xml:space="preserve">Student Loan</t>
        </is>
      </c>
      <c r="F320" s="3">
        <v>160.37</v>
      </c>
    </row>
    <row r="321">
      <c r="A321" s="2" t="inlineStr">
        <is>
          <t xml:space="preserve">August 2026</t>
        </is>
      </c>
      <c r="B321" s="4">
        <v>46251</v>
      </c>
      <c r="C321" s="2" t="inlineStr">
        <is>
          <t xml:space="preserve">Par*Drift Coffee &amp; Wilmington</t>
        </is>
      </c>
      <c r="D321" s="2" t="inlineStr">
        <is>
          <t xml:space="preserve">Restaurants &amp; Takeout</t>
        </is>
      </c>
      <c r="E321" s="2" t="inlineStr">
        <is>
          <t xml:space="preserve">Food</t>
        </is>
      </c>
      <c r="F321" s="3">
        <v>43.52</v>
      </c>
    </row>
    <row r="322">
      <c r="A322" s="2" t="inlineStr">
        <is>
          <t xml:space="preserve">August 2026</t>
        </is>
      </c>
      <c r="B322" s="4">
        <v>46251</v>
      </c>
      <c r="C322" s="2" t="inlineStr">
        <is>
          <t xml:space="preserve">Thai &amp; Vine Oak Island NC</t>
        </is>
      </c>
      <c r="D322" s="2" t="inlineStr">
        <is>
          <t xml:space="preserve">Restaurants &amp; Takeout</t>
        </is>
      </c>
      <c r="E322" s="2" t="inlineStr">
        <is>
          <t xml:space="preserve">Food</t>
        </is>
      </c>
      <c r="F322" s="3">
        <v>64.68</v>
      </c>
    </row>
    <row r="323">
      <c r="A323" s="2" t="inlineStr">
        <is>
          <t xml:space="preserve">August 2026</t>
        </is>
      </c>
      <c r="B323" s="4">
        <v>46251</v>
      </c>
      <c r="C323" s="2" t="inlineStr">
        <is>
          <t xml:space="preserve">Lil &amp; Johnssweetre Oak Island</t>
        </is>
      </c>
      <c r="D323" s="2" t="inlineStr">
        <is>
          <t xml:space="preserve">Restaurants &amp; Takeout</t>
        </is>
      </c>
      <c r="E323" s="2" t="inlineStr">
        <is>
          <t xml:space="preserve">Food</t>
        </is>
      </c>
      <c r="F323" s="3">
        <v>28.85</v>
      </c>
    </row>
    <row r="324">
      <c r="A324" s="2" t="inlineStr">
        <is>
          <t xml:space="preserve">August 2026</t>
        </is>
      </c>
      <c r="B324" s="4">
        <v>46251</v>
      </c>
      <c r="C324" s="2" t="inlineStr">
        <is>
          <t xml:space="preserve">Lowes Food #235 Bolivia NC</t>
        </is>
      </c>
      <c r="D324" s="2" t="inlineStr">
        <is>
          <t xml:space="preserve">Grocery – Lowes Foods</t>
        </is>
      </c>
      <c r="E324" s="2" t="inlineStr">
        <is>
          <t xml:space="preserve">Groceries</t>
        </is>
      </c>
      <c r="F324" s="3">
        <v>6.49</v>
      </c>
    </row>
    <row r="325">
      <c r="A325" s="2" t="inlineStr">
        <is>
          <t xml:space="preserve">August 2026</t>
        </is>
      </c>
      <c r="B325" s="4">
        <v>46251</v>
      </c>
      <c r="C325" s="2" t="inlineStr">
        <is>
          <t xml:space="preserve">Circlek #2723487 16 Oc Supply</t>
        </is>
      </c>
      <c r="D325" s="2" t="inlineStr">
        <is>
          <t xml:space="preserve">Gas &amp; Convenience Stores</t>
        </is>
      </c>
      <c r="E325" s="2" t="inlineStr">
        <is>
          <t xml:space="preserve">Transportation</t>
        </is>
      </c>
      <c r="F325" s="3">
        <v>47.12</v>
      </c>
    </row>
    <row r="326">
      <c r="A326" s="2" t="inlineStr">
        <is>
          <t xml:space="preserve">August 2026</t>
        </is>
      </c>
      <c r="B326" s="4">
        <v>46251</v>
      </c>
      <c r="C326" s="2" t="inlineStr">
        <is>
          <t xml:space="preserve">Hobbylobby Southport NC</t>
        </is>
      </c>
      <c r="D326" s="2" t="inlineStr">
        <is>
          <t xml:space="preserve">Retail – Hobby Lobby</t>
        </is>
      </c>
      <c r="E326" s="2" t="inlineStr">
        <is>
          <t xml:space="preserve">Retail</t>
        </is>
      </c>
      <c r="F326" s="3">
        <v>145.01</v>
      </c>
    </row>
    <row r="327">
      <c r="A327" s="2" t="inlineStr">
        <is>
          <t xml:space="preserve">August 2026</t>
        </is>
      </c>
      <c r="B327" s="4">
        <v>46251</v>
      </c>
      <c r="C327" s="2" t="inlineStr">
        <is>
          <t xml:space="preserve">Circlek #2723140 3498 Little</t>
        </is>
      </c>
      <c r="D327" s="2" t="inlineStr">
        <is>
          <t xml:space="preserve">Gas &amp; Convenience Stores</t>
        </is>
      </c>
      <c r="E327" s="2" t="inlineStr">
        <is>
          <t xml:space="preserve">Transportation</t>
        </is>
      </c>
      <c r="F327" s="3">
        <v>5.78</v>
      </c>
    </row>
    <row r="328">
      <c r="A328" s="2" t="inlineStr">
        <is>
          <t xml:space="preserve">August 2026</t>
        </is>
      </c>
      <c r="B328" s="4">
        <v>46251</v>
      </c>
      <c r="C328" s="2" t="inlineStr">
        <is>
          <t xml:space="preserve">Lowes Food #235 Bolivia NC</t>
        </is>
      </c>
      <c r="D328" s="2" t="inlineStr">
        <is>
          <t xml:space="preserve">Grocery – Lowes Foods</t>
        </is>
      </c>
      <c r="E328" s="2" t="inlineStr">
        <is>
          <t xml:space="preserve">Groceries</t>
        </is>
      </c>
      <c r="F328" s="3">
        <v>10.99</v>
      </c>
    </row>
    <row r="329">
      <c r="A329" s="2" t="inlineStr">
        <is>
          <t xml:space="preserve">August 2026</t>
        </is>
      </c>
      <c r="B329" s="4">
        <v>46251</v>
      </c>
      <c r="C329" s="2" t="inlineStr">
        <is>
          <t xml:space="preserve">A&amp;D Mortgage LLC Re Payment</t>
        </is>
      </c>
      <c r="D329" s="2" t="inlineStr">
        <is>
          <t xml:space="preserve">A&amp;D Mortgage</t>
        </is>
      </c>
      <c r="E329" s="2" t="inlineStr">
        <is>
          <t xml:space="preserve">Housing</t>
        </is>
      </c>
      <c r="F329" s="3">
        <v>3411.1</v>
      </c>
    </row>
    <row r="330">
      <c r="A330" s="2" t="inlineStr">
        <is>
          <t xml:space="preserve">August 2026</t>
        </is>
      </c>
      <c r="B330" s="4">
        <v>46252</v>
      </c>
      <c r="C330" s="2" t="inlineStr">
        <is>
          <t xml:space="preserve">Tst* The Melting P Wilmington</t>
        </is>
      </c>
      <c r="D330" s="2" t="inlineStr">
        <is>
          <t xml:space="preserve">Restaurants &amp; Takeout</t>
        </is>
      </c>
      <c r="E330" s="2" t="inlineStr">
        <is>
          <t xml:space="preserve">Food</t>
        </is>
      </c>
      <c r="F330" s="3">
        <v>204.48</v>
      </c>
    </row>
    <row r="331">
      <c r="A331" s="2" t="inlineStr">
        <is>
          <t xml:space="preserve">August 2026</t>
        </is>
      </c>
      <c r="B331" s="4">
        <v>46252</v>
      </c>
      <c r="C331" s="2" t="inlineStr">
        <is>
          <t xml:space="preserve">DD/Br #338554 Q35 Little River</t>
        </is>
      </c>
      <c r="D331" s="2" t="inlineStr">
        <is>
          <t xml:space="preserve">Restaurants &amp; Takeout</t>
        </is>
      </c>
      <c r="E331" s="2" t="inlineStr">
        <is>
          <t xml:space="preserve">Food</t>
        </is>
      </c>
      <c r="F331" s="3">
        <v>9.25</v>
      </c>
    </row>
    <row r="332">
      <c r="A332" s="2" t="inlineStr">
        <is>
          <t xml:space="preserve">August 2026</t>
        </is>
      </c>
      <c r="B332" s="4">
        <v>46252</v>
      </c>
      <c r="C332" s="2" t="inlineStr">
        <is>
          <t xml:space="preserve">Autobks*Nextgen LA</t>
        </is>
      </c>
      <c r="D332" s="2" t="inlineStr">
        <is>
          <t xml:space="preserve">Yard Company (NextGen)</t>
        </is>
      </c>
      <c r="E332" s="2" t="inlineStr">
        <is>
          <t xml:space="preserve">Home</t>
        </is>
      </c>
      <c r="F332" s="3">
        <v>60.0</v>
      </c>
    </row>
    <row r="333">
      <c r="A333" s="2" t="inlineStr">
        <is>
          <t xml:space="preserve">August 2026</t>
        </is>
      </c>
      <c r="B333" s="4">
        <v>46252</v>
      </c>
      <c r="C333" s="2" t="inlineStr">
        <is>
          <t xml:space="preserve">Tractor Supply # 5049 Sou</t>
        </is>
      </c>
      <c r="D333" s="2" t="inlineStr">
        <is>
          <t xml:space="preserve">Retail – Tractor Supply</t>
        </is>
      </c>
      <c r="E333" s="2" t="inlineStr">
        <is>
          <t xml:space="preserve">Retail</t>
        </is>
      </c>
      <c r="F333" s="3">
        <v>29.86</v>
      </c>
    </row>
    <row r="334">
      <c r="A334" s="2" t="inlineStr">
        <is>
          <t xml:space="preserve">August 2026</t>
        </is>
      </c>
      <c r="B334" s="4">
        <v>46252</v>
      </c>
      <c r="C334" s="2" t="inlineStr">
        <is>
          <t xml:space="preserve">Lowes Foods #27 Southport NC (purchase incl. $20 cash back)</t>
        </is>
      </c>
      <c r="D334" s="2" t="inlineStr">
        <is>
          <t xml:space="preserve">Grocery – Lowes Foods</t>
        </is>
      </c>
      <c r="E334" s="2" t="inlineStr">
        <is>
          <t xml:space="preserve">Groceries</t>
        </is>
      </c>
      <c r="F334" s="3">
        <v>275.25</v>
      </c>
    </row>
    <row r="335">
      <c r="A335" s="2" t="inlineStr">
        <is>
          <t xml:space="preserve">August 2026</t>
        </is>
      </c>
      <c r="B335" s="4">
        <v>46252</v>
      </c>
      <c r="C335" s="2" t="inlineStr">
        <is>
          <t xml:space="preserve">+Lincoln Nationa EDI Pymnt</t>
        </is>
      </c>
      <c r="D335" s="2" t="inlineStr">
        <is>
          <t xml:space="preserve">Life Insurance (Lincoln National)</t>
        </is>
      </c>
      <c r="E335" s="2" t="inlineStr">
        <is>
          <t xml:space="preserve">Insurance</t>
        </is>
      </c>
      <c r="F335" s="3">
        <v>73.61</v>
      </c>
    </row>
    <row r="336">
      <c r="A336" s="2" t="inlineStr">
        <is>
          <t xml:space="preserve">August 2026</t>
        </is>
      </c>
      <c r="B336" s="4">
        <v>46252</v>
      </c>
      <c r="C336" s="2" t="inlineStr">
        <is>
          <t xml:space="preserve">Check #103</t>
        </is>
      </c>
      <c r="D336" s="2" t="inlineStr">
        <is>
          <t xml:space="preserve">Checks Written (payee not shown)</t>
        </is>
      </c>
      <c r="E336" s="2" t="inlineStr">
        <is>
          <t xml:space="preserve">Excluded</t>
        </is>
      </c>
      <c r="F336" s="3">
        <v>200.0</v>
      </c>
    </row>
    <row r="337">
      <c r="A337" s="2" t="inlineStr">
        <is>
          <t xml:space="preserve">August 2026</t>
        </is>
      </c>
      <c r="B337" s="4">
        <v>46253</v>
      </c>
      <c r="C337" s="2" t="inlineStr">
        <is>
          <t xml:space="preserve">Cvs/Pharmacy #07382</t>
        </is>
      </c>
      <c r="D337" s="2" t="inlineStr">
        <is>
          <t xml:space="preserve">CVS Pharmacy</t>
        </is>
      </c>
      <c r="E337" s="2" t="inlineStr">
        <is>
          <t xml:space="preserve">Health</t>
        </is>
      </c>
      <c r="F337" s="3">
        <v>31.14</v>
      </c>
    </row>
    <row r="338">
      <c r="A338" s="2" t="inlineStr">
        <is>
          <t xml:space="preserve">August 2026</t>
        </is>
      </c>
      <c r="B338" s="4">
        <v>46253</v>
      </c>
      <c r="C338" s="2" t="inlineStr">
        <is>
          <t xml:space="preserve">American Express ACH Pmt W6914</t>
        </is>
      </c>
      <c r="D338" s="2" t="inlineStr">
        <is>
          <t xml:space="preserve">Credit Card Payoff – American Express</t>
        </is>
      </c>
      <c r="E338" s="2" t="inlineStr">
        <is>
          <t xml:space="preserve">Excluded</t>
        </is>
      </c>
      <c r="F338" s="3">
        <v>663.17</v>
      </c>
    </row>
    <row r="339">
      <c r="A339" s="2" t="inlineStr">
        <is>
          <t xml:space="preserve">August 2026</t>
        </is>
      </c>
      <c r="B339" s="4">
        <v>46254</v>
      </c>
      <c r="C339" s="2" t="inlineStr">
        <is>
          <t xml:space="preserve">Allstate *Paymn</t>
        </is>
      </c>
      <c r="D339" s="2" t="inlineStr">
        <is>
          <t xml:space="preserve">Allstate Insurance</t>
        </is>
      </c>
      <c r="E339" s="2" t="inlineStr">
        <is>
          <t xml:space="preserve">Insurance</t>
        </is>
      </c>
      <c r="F339" s="3">
        <v>360.42</v>
      </c>
    </row>
    <row r="340">
      <c r="A340" s="2" t="inlineStr">
        <is>
          <t xml:space="preserve">August 2026</t>
        </is>
      </c>
      <c r="B340" s="4">
        <v>46254</v>
      </c>
      <c r="C340" s="2" t="inlineStr">
        <is>
          <t xml:space="preserve">The Color Bar Hair Oak Island NC</t>
        </is>
      </c>
      <c r="D340" s="2" t="inlineStr">
        <is>
          <t xml:space="preserve">Haircuts – The Color Bar</t>
        </is>
      </c>
      <c r="E340" s="2" t="inlineStr">
        <is>
          <t xml:space="preserve">Personal</t>
        </is>
      </c>
      <c r="F340" s="3">
        <v>150.0</v>
      </c>
    </row>
    <row r="341">
      <c r="A341" s="2" t="inlineStr">
        <is>
          <t xml:space="preserve">August 2026</t>
        </is>
      </c>
      <c r="B341" s="4">
        <v>46254</v>
      </c>
      <c r="C341" s="2" t="inlineStr">
        <is>
          <t xml:space="preserve">WM Supercenter #2772</t>
        </is>
      </c>
      <c r="D341" s="2" t="inlineStr">
        <is>
          <t xml:space="preserve">Retail – Walmart</t>
        </is>
      </c>
      <c r="E341" s="2" t="inlineStr">
        <is>
          <t xml:space="preserve">Retail</t>
        </is>
      </c>
      <c r="F341" s="3">
        <v>125.16</v>
      </c>
    </row>
    <row r="342">
      <c r="A342" s="2" t="inlineStr">
        <is>
          <t xml:space="preserve">August 2026</t>
        </is>
      </c>
      <c r="B342" s="4">
        <v>46254</v>
      </c>
      <c r="C342" s="2" t="inlineStr">
        <is>
          <t xml:space="preserve">St James 7134 Pap</t>
        </is>
      </c>
      <c r="D342" s="2" t="inlineStr">
        <is>
          <t xml:space="preserve">St. James Membership (Club)</t>
        </is>
      </c>
      <c r="E342" s="2" t="inlineStr">
        <is>
          <t xml:space="preserve">Housing</t>
        </is>
      </c>
      <c r="F342" s="3">
        <v>1492.11</v>
      </c>
    </row>
    <row r="343">
      <c r="A343" s="2" t="inlineStr">
        <is>
          <t xml:space="preserve">August 2026</t>
        </is>
      </c>
      <c r="B343" s="4">
        <v>46255</v>
      </c>
      <c r="C343" s="2" t="inlineStr">
        <is>
          <t xml:space="preserve">Starbucks Store 71 Southport</t>
        </is>
      </c>
      <c r="D343" s="2" t="inlineStr">
        <is>
          <t xml:space="preserve">Restaurants &amp; Takeout</t>
        </is>
      </c>
      <c r="E343" s="2" t="inlineStr">
        <is>
          <t xml:space="preserve">Food</t>
        </is>
      </c>
      <c r="F343" s="3">
        <v>5.0</v>
      </c>
    </row>
    <row r="344">
      <c r="A344" s="2" t="inlineStr">
        <is>
          <t xml:space="preserve">August 2026</t>
        </is>
      </c>
      <c r="B344" s="4">
        <v>46255</v>
      </c>
      <c r="C344" s="2" t="inlineStr">
        <is>
          <t xml:space="preserve">Tst*Koko Cabana - Oak Island NC</t>
        </is>
      </c>
      <c r="D344" s="2" t="inlineStr">
        <is>
          <t xml:space="preserve">Restaurants &amp; Takeout</t>
        </is>
      </c>
      <c r="E344" s="2" t="inlineStr">
        <is>
          <t xml:space="preserve">Food</t>
        </is>
      </c>
      <c r="F344" s="3">
        <v>64.37</v>
      </c>
    </row>
    <row r="345">
      <c r="A345" s="2" t="inlineStr">
        <is>
          <t xml:space="preserve">August 2026</t>
        </is>
      </c>
      <c r="B345" s="4">
        <v>46255</v>
      </c>
      <c r="C345" s="2" t="inlineStr">
        <is>
          <t xml:space="preserve">Lowes Food #235 Bolivia NC</t>
        </is>
      </c>
      <c r="D345" s="2" t="inlineStr">
        <is>
          <t xml:space="preserve">Grocery – Lowes Foods</t>
        </is>
      </c>
      <c r="E345" s="2" t="inlineStr">
        <is>
          <t xml:space="preserve">Groceries</t>
        </is>
      </c>
      <c r="F345" s="3">
        <v>29.54</v>
      </c>
    </row>
    <row r="346">
      <c r="A346" s="2" t="inlineStr">
        <is>
          <t xml:space="preserve">August 2026</t>
        </is>
      </c>
      <c r="B346" s="4">
        <v>46255</v>
      </c>
      <c r="C346" s="2" t="inlineStr">
        <is>
          <t xml:space="preserve">Lowes Food #235 Bolivia NC</t>
        </is>
      </c>
      <c r="D346" s="2" t="inlineStr">
        <is>
          <t xml:space="preserve">Grocery – Lowes Foods</t>
        </is>
      </c>
      <c r="E346" s="2" t="inlineStr">
        <is>
          <t xml:space="preserve">Groceries</t>
        </is>
      </c>
      <c r="F346" s="3">
        <v>36.77</v>
      </c>
    </row>
    <row r="347">
      <c r="A347" s="2" t="inlineStr">
        <is>
          <t xml:space="preserve">August 2026</t>
        </is>
      </c>
      <c r="B347" s="4">
        <v>46255</v>
      </c>
      <c r="C347" s="2" t="inlineStr">
        <is>
          <t xml:space="preserve">Verizon Wireless Payments</t>
        </is>
      </c>
      <c r="D347" s="2" t="inlineStr">
        <is>
          <t xml:space="preserve">Verizon Wireless</t>
        </is>
      </c>
      <c r="E347" s="2" t="inlineStr">
        <is>
          <t xml:space="preserve">Phone &amp; Internet</t>
        </is>
      </c>
      <c r="F347" s="3">
        <v>436.02</v>
      </c>
    </row>
    <row r="348">
      <c r="A348" s="2" t="inlineStr">
        <is>
          <t xml:space="preserve">August 2026</t>
        </is>
      </c>
      <c r="B348" s="4">
        <v>46258</v>
      </c>
      <c r="C348" s="2" t="inlineStr">
        <is>
          <t xml:space="preserve">First Watch - 6045 Wilmington</t>
        </is>
      </c>
      <c r="D348" s="2" t="inlineStr">
        <is>
          <t xml:space="preserve">Restaurants &amp; Takeout</t>
        </is>
      </c>
      <c r="E348" s="2" t="inlineStr">
        <is>
          <t xml:space="preserve">Food</t>
        </is>
      </c>
      <c r="F348" s="3">
        <v>21.94</v>
      </c>
    </row>
    <row r="349">
      <c r="A349" s="2" t="inlineStr">
        <is>
          <t xml:space="preserve">August 2026</t>
        </is>
      </c>
      <c r="B349" s="4">
        <v>46258</v>
      </c>
      <c r="C349" s="2" t="inlineStr">
        <is>
          <t xml:space="preserve">Dillards 156 Westfield</t>
        </is>
      </c>
      <c r="D349" s="2" t="inlineStr">
        <is>
          <t xml:space="preserve">Retail – Dillard's</t>
        </is>
      </c>
      <c r="E349" s="2" t="inlineStr">
        <is>
          <t xml:space="preserve">Retail</t>
        </is>
      </c>
      <c r="F349" s="3">
        <v>54.3</v>
      </c>
    </row>
    <row r="350">
      <c r="A350" s="2" t="inlineStr">
        <is>
          <t xml:space="preserve">August 2026</t>
        </is>
      </c>
      <c r="B350" s="4">
        <v>46258</v>
      </c>
      <c r="C350" s="2" t="inlineStr">
        <is>
          <t xml:space="preserve">Lowes Foods #27 Southport NC</t>
        </is>
      </c>
      <c r="D350" s="2" t="inlineStr">
        <is>
          <t xml:space="preserve">Grocery – Lowes Foods</t>
        </is>
      </c>
      <c r="E350" s="2" t="inlineStr">
        <is>
          <t xml:space="preserve">Groceries</t>
        </is>
      </c>
      <c r="F350" s="3">
        <v>101.24</v>
      </c>
    </row>
    <row r="351">
      <c r="A351" s="2" t="inlineStr">
        <is>
          <t xml:space="preserve">August 2026</t>
        </is>
      </c>
      <c r="B351" s="4">
        <v>46259</v>
      </c>
      <c r="C351" s="2" t="inlineStr">
        <is>
          <t xml:space="preserve">Apple.Com/Bill</t>
        </is>
      </c>
      <c r="D351" s="2" t="inlineStr">
        <is>
          <t xml:space="preserve">Software &amp; Online Subscriptions</t>
        </is>
      </c>
      <c r="E351" s="2" t="inlineStr">
        <is>
          <t xml:space="preserve">Subscriptions</t>
        </is>
      </c>
      <c r="F351" s="3">
        <v>2.99</v>
      </c>
    </row>
    <row r="352">
      <c r="A352" s="2" t="inlineStr">
        <is>
          <t xml:space="preserve">September 2026</t>
        </is>
      </c>
      <c r="B352" s="4">
        <v>46262</v>
      </c>
      <c r="C352" s="2" t="inlineStr">
        <is>
          <t xml:space="preserve">Tst*Cafe Koa - Oak Southport NC</t>
        </is>
      </c>
      <c r="D352" s="2" t="inlineStr">
        <is>
          <t xml:space="preserve">Restaurants &amp; Takeout</t>
        </is>
      </c>
      <c r="E352" s="2" t="inlineStr">
        <is>
          <t xml:space="preserve">Food</t>
        </is>
      </c>
      <c r="F352" s="3">
        <v>25.81</v>
      </c>
    </row>
    <row r="353">
      <c r="A353" s="2" t="inlineStr">
        <is>
          <t xml:space="preserve">September 2026</t>
        </is>
      </c>
      <c r="B353" s="4">
        <v>46262</v>
      </c>
      <c r="C353" s="2" t="inlineStr">
        <is>
          <t xml:space="preserve">Cat on A Whisk 9104719377 NC</t>
        </is>
      </c>
      <c r="D353" s="2" t="inlineStr">
        <is>
          <t xml:space="preserve">Retail – Cat on a Whisk</t>
        </is>
      </c>
      <c r="E353" s="2" t="inlineStr">
        <is>
          <t xml:space="preserve">Retail</t>
        </is>
      </c>
      <c r="F353" s="3">
        <v>24.51</v>
      </c>
    </row>
    <row r="354">
      <c r="A354" s="2" t="inlineStr">
        <is>
          <t xml:space="preserve">September 2026</t>
        </is>
      </c>
      <c r="B354" s="4">
        <v>46262</v>
      </c>
      <c r="C354" s="2" t="inlineStr">
        <is>
          <t xml:space="preserve">Lil &amp; Johnssweetre Oak Island</t>
        </is>
      </c>
      <c r="D354" s="2" t="inlineStr">
        <is>
          <t xml:space="preserve">Restaurants &amp; Takeout</t>
        </is>
      </c>
      <c r="E354" s="2" t="inlineStr">
        <is>
          <t xml:space="preserve">Food</t>
        </is>
      </c>
      <c r="F354" s="3">
        <v>18.35</v>
      </c>
    </row>
    <row r="355">
      <c r="A355" s="2" t="inlineStr">
        <is>
          <t xml:space="preserve">September 2026</t>
        </is>
      </c>
      <c r="B355" s="4">
        <v>46265</v>
      </c>
      <c r="C355" s="2" t="inlineStr">
        <is>
          <t xml:space="preserve">Wilmington Eye 910-7633601</t>
        </is>
      </c>
      <c r="D355" s="2" t="inlineStr">
        <is>
          <t xml:space="preserve">Medical – Wilmington Eye</t>
        </is>
      </c>
      <c r="E355" s="2" t="inlineStr">
        <is>
          <t xml:space="preserve">Health</t>
        </is>
      </c>
      <c r="F355" s="3">
        <v>60.0</v>
      </c>
    </row>
    <row r="356">
      <c r="A356" s="2" t="inlineStr">
        <is>
          <t xml:space="preserve">September 2026</t>
        </is>
      </c>
      <c r="B356" s="4">
        <v>46265</v>
      </c>
      <c r="C356" s="2" t="inlineStr">
        <is>
          <t xml:space="preserve">McDonald's F7702 Southport NC</t>
        </is>
      </c>
      <c r="D356" s="2" t="inlineStr">
        <is>
          <t xml:space="preserve">Restaurants &amp; Takeout</t>
        </is>
      </c>
      <c r="E356" s="2" t="inlineStr">
        <is>
          <t xml:space="preserve">Food</t>
        </is>
      </c>
      <c r="F356" s="3">
        <v>9.49</v>
      </c>
    </row>
    <row r="357">
      <c r="A357" s="2" t="inlineStr">
        <is>
          <t xml:space="preserve">September 2026</t>
        </is>
      </c>
      <c r="B357" s="4">
        <v>46265</v>
      </c>
      <c r="C357" s="2" t="inlineStr">
        <is>
          <t xml:space="preserve">Google Youtubetv</t>
        </is>
      </c>
      <c r="D357" s="2" t="inlineStr">
        <is>
          <t xml:space="preserve">Streaming – YouTube TV (Google)</t>
        </is>
      </c>
      <c r="E357" s="2" t="inlineStr">
        <is>
          <t xml:space="preserve">Streaming</t>
        </is>
      </c>
      <c r="F357" s="3">
        <v>89.0</v>
      </c>
    </row>
    <row r="358">
      <c r="A358" s="2" t="inlineStr">
        <is>
          <t xml:space="preserve">September 2026</t>
        </is>
      </c>
      <c r="B358" s="4">
        <v>46265</v>
      </c>
      <c r="C358" s="2" t="inlineStr">
        <is>
          <t xml:space="preserve">Roku for Disney El</t>
        </is>
      </c>
      <c r="D358" s="2" t="inlineStr">
        <is>
          <t xml:space="preserve">Streaming – Disney (via Roku)</t>
        </is>
      </c>
      <c r="E358" s="2" t="inlineStr">
        <is>
          <t xml:space="preserve">Streaming</t>
        </is>
      </c>
      <c r="F358" s="3">
        <v>20.27</v>
      </c>
    </row>
    <row r="359">
      <c r="A359" s="2" t="inlineStr">
        <is>
          <t xml:space="preserve">September 2026</t>
        </is>
      </c>
      <c r="B359" s="4">
        <v>46265</v>
      </c>
      <c r="C359" s="2" t="inlineStr">
        <is>
          <t xml:space="preserve">Wal-Mart #2772 Southport NC</t>
        </is>
      </c>
      <c r="D359" s="2" t="inlineStr">
        <is>
          <t xml:space="preserve">Retail – Walmart</t>
        </is>
      </c>
      <c r="E359" s="2" t="inlineStr">
        <is>
          <t xml:space="preserve">Retail</t>
        </is>
      </c>
      <c r="F359" s="3">
        <v>32.63</v>
      </c>
    </row>
    <row r="360">
      <c r="A360" s="2" t="inlineStr">
        <is>
          <t xml:space="preserve">September 2026</t>
        </is>
      </c>
      <c r="B360" s="4">
        <v>46265</v>
      </c>
      <c r="C360" s="2" t="inlineStr">
        <is>
          <t xml:space="preserve">Burney's Bakery of Southport NC</t>
        </is>
      </c>
      <c r="D360" s="2" t="inlineStr">
        <is>
          <t xml:space="preserve">Restaurants &amp; Takeout</t>
        </is>
      </c>
      <c r="E360" s="2" t="inlineStr">
        <is>
          <t xml:space="preserve">Food</t>
        </is>
      </c>
      <c r="F360" s="3">
        <v>15.17</v>
      </c>
    </row>
    <row r="361">
      <c r="A361" s="2" t="inlineStr">
        <is>
          <t xml:space="preserve">September 2026</t>
        </is>
      </c>
      <c r="B361" s="4">
        <v>46265</v>
      </c>
      <c r="C361" s="2" t="inlineStr">
        <is>
          <t xml:space="preserve">Lowes Foods #27 Southport NC</t>
        </is>
      </c>
      <c r="D361" s="2" t="inlineStr">
        <is>
          <t xml:space="preserve">Grocery – Lowes Foods</t>
        </is>
      </c>
      <c r="E361" s="2" t="inlineStr">
        <is>
          <t xml:space="preserve">Groceries</t>
        </is>
      </c>
      <c r="F361" s="3">
        <v>5.28</v>
      </c>
    </row>
    <row r="362">
      <c r="A362" s="2" t="inlineStr">
        <is>
          <t xml:space="preserve">September 2026</t>
        </is>
      </c>
      <c r="B362" s="4">
        <v>46265</v>
      </c>
      <c r="C362" s="2" t="inlineStr">
        <is>
          <t xml:space="preserve">365 Market H 888 4 Troy MI</t>
        </is>
      </c>
      <c r="D362" s="2" t="inlineStr">
        <is>
          <t xml:space="preserve">Restaurants &amp; Takeout</t>
        </is>
      </c>
      <c r="E362" s="2" t="inlineStr">
        <is>
          <t xml:space="preserve">Food</t>
        </is>
      </c>
      <c r="F362" s="3">
        <v>8.27</v>
      </c>
    </row>
    <row r="363">
      <c r="A363" s="2" t="inlineStr">
        <is>
          <t xml:space="preserve">September 2026</t>
        </is>
      </c>
      <c r="B363" s="4">
        <v>46265</v>
      </c>
      <c r="C363" s="2" t="inlineStr">
        <is>
          <t xml:space="preserve">DD *Doordash Seasi</t>
        </is>
      </c>
      <c r="D363" s="2" t="inlineStr">
        <is>
          <t xml:space="preserve">Restaurants &amp; Takeout</t>
        </is>
      </c>
      <c r="E363" s="2" t="inlineStr">
        <is>
          <t xml:space="preserve">Food</t>
        </is>
      </c>
      <c r="F363" s="3">
        <v>49.01</v>
      </c>
    </row>
    <row r="364">
      <c r="A364" s="2" t="inlineStr">
        <is>
          <t xml:space="preserve">September 2026</t>
        </is>
      </c>
      <c r="B364" s="4">
        <v>46265</v>
      </c>
      <c r="C364" s="2" t="inlineStr">
        <is>
          <t xml:space="preserve">Publix #1703 Oak Island NC</t>
        </is>
      </c>
      <c r="D364" s="2" t="inlineStr">
        <is>
          <t xml:space="preserve">Grocery – Publix</t>
        </is>
      </c>
      <c r="E364" s="2" t="inlineStr">
        <is>
          <t xml:space="preserve">Groceries</t>
        </is>
      </c>
      <c r="F364" s="3">
        <v>98.73</v>
      </c>
    </row>
    <row r="365">
      <c r="A365" s="2" t="inlineStr">
        <is>
          <t xml:space="preserve">September 2026</t>
        </is>
      </c>
      <c r="B365" s="4">
        <v>46266</v>
      </c>
      <c r="C365" s="2" t="inlineStr">
        <is>
          <t xml:space="preserve">Autobks*Nextgen LA</t>
        </is>
      </c>
      <c r="D365" s="2" t="inlineStr">
        <is>
          <t xml:space="preserve">Yard Company (NextGen)</t>
        </is>
      </c>
      <c r="E365" s="2" t="inlineStr">
        <is>
          <t xml:space="preserve">Home</t>
        </is>
      </c>
      <c r="F365" s="3">
        <v>60.0</v>
      </c>
    </row>
    <row r="366">
      <c r="A366" s="2" t="inlineStr">
        <is>
          <t xml:space="preserve">September 2026</t>
        </is>
      </c>
      <c r="B366" s="4">
        <v>46266</v>
      </c>
      <c r="C366" s="2" t="inlineStr">
        <is>
          <t xml:space="preserve">Lowe's Foods #1 Oak Island NC</t>
        </is>
      </c>
      <c r="D366" s="2" t="inlineStr">
        <is>
          <t xml:space="preserve">Grocery – Lowes Foods</t>
        </is>
      </c>
      <c r="E366" s="2" t="inlineStr">
        <is>
          <t xml:space="preserve">Groceries</t>
        </is>
      </c>
      <c r="F366" s="3">
        <v>53.9</v>
      </c>
    </row>
    <row r="367">
      <c r="A367" s="2" t="inlineStr">
        <is>
          <t xml:space="preserve">September 2026</t>
        </is>
      </c>
      <c r="B367" s="4">
        <v>46266</v>
      </c>
      <c r="C367" s="2" t="inlineStr">
        <is>
          <t xml:space="preserve">Lowes Food #235 Bolivia NC</t>
        </is>
      </c>
      <c r="D367" s="2" t="inlineStr">
        <is>
          <t xml:space="preserve">Grocery – Lowes Foods</t>
        </is>
      </c>
      <c r="E367" s="2" t="inlineStr">
        <is>
          <t xml:space="preserve">Groceries</t>
        </is>
      </c>
      <c r="F367" s="3">
        <v>174.04</v>
      </c>
    </row>
    <row r="368">
      <c r="A368" s="2" t="inlineStr">
        <is>
          <t xml:space="preserve">September 2026</t>
        </is>
      </c>
      <c r="B368" s="4">
        <v>46266</v>
      </c>
      <c r="C368" s="2" t="inlineStr">
        <is>
          <t xml:space="preserve">7-11 #42386 Myrtle Beach SC</t>
        </is>
      </c>
      <c r="D368" s="2" t="inlineStr">
        <is>
          <t xml:space="preserve">Gas &amp; Convenience Stores</t>
        </is>
      </c>
      <c r="E368" s="2" t="inlineStr">
        <is>
          <t xml:space="preserve">Transportation</t>
        </is>
      </c>
      <c r="F368" s="3">
        <v>46.8</v>
      </c>
    </row>
    <row r="369">
      <c r="A369" s="2" t="inlineStr">
        <is>
          <t xml:space="preserve">September 2026</t>
        </is>
      </c>
      <c r="B369" s="4">
        <v>46267</v>
      </c>
      <c r="C369" s="2" t="inlineStr">
        <is>
          <t xml:space="preserve">McDonald's F35966 Supply NC</t>
        </is>
      </c>
      <c r="D369" s="2" t="inlineStr">
        <is>
          <t xml:space="preserve">Restaurants &amp; Takeout</t>
        </is>
      </c>
      <c r="E369" s="2" t="inlineStr">
        <is>
          <t xml:space="preserve">Food</t>
        </is>
      </c>
      <c r="F369" s="3">
        <v>8.53</v>
      </c>
    </row>
    <row r="370">
      <c r="A370" s="2" t="inlineStr">
        <is>
          <t xml:space="preserve">September 2026</t>
        </is>
      </c>
      <c r="B370" s="4">
        <v>46267</v>
      </c>
      <c r="C370" s="2" t="inlineStr">
        <is>
          <t xml:space="preserve">Circlek #2723140 3498 Little</t>
        </is>
      </c>
      <c r="D370" s="2" t="inlineStr">
        <is>
          <t xml:space="preserve">Gas &amp; Convenience Stores</t>
        </is>
      </c>
      <c r="E370" s="2" t="inlineStr">
        <is>
          <t xml:space="preserve">Transportation</t>
        </is>
      </c>
      <c r="F370" s="3">
        <v>3.99</v>
      </c>
    </row>
    <row r="371">
      <c r="A371" s="2" t="inlineStr">
        <is>
          <t xml:space="preserve">September 2026</t>
        </is>
      </c>
      <c r="B371" s="4">
        <v>46268</v>
      </c>
      <c r="C371" s="2" t="inlineStr">
        <is>
          <t xml:space="preserve">7-Eleven 42386 Myrtle Beach SC</t>
        </is>
      </c>
      <c r="D371" s="2" t="inlineStr">
        <is>
          <t xml:space="preserve">Gas &amp; Convenience Stores</t>
        </is>
      </c>
      <c r="E371" s="2" t="inlineStr">
        <is>
          <t xml:space="preserve">Transportation</t>
        </is>
      </c>
      <c r="F371" s="3">
        <v>12.37</v>
      </c>
    </row>
    <row r="372">
      <c r="A372" s="2" t="inlineStr">
        <is>
          <t xml:space="preserve">September 2026</t>
        </is>
      </c>
      <c r="B372" s="4">
        <v>46268</v>
      </c>
      <c r="C372" s="2" t="inlineStr">
        <is>
          <t xml:space="preserve">Tst* The Grumpy MO Myrtle</t>
        </is>
      </c>
      <c r="D372" s="2" t="inlineStr">
        <is>
          <t xml:space="preserve">Restaurants &amp; Takeout</t>
        </is>
      </c>
      <c r="E372" s="2" t="inlineStr">
        <is>
          <t xml:space="preserve">Food</t>
        </is>
      </c>
      <c r="F372" s="3">
        <v>33.16</v>
      </c>
    </row>
    <row r="373">
      <c r="A373" s="2" t="inlineStr">
        <is>
          <t xml:space="preserve">September 2026</t>
        </is>
      </c>
      <c r="B373" s="4">
        <v>46268</v>
      </c>
      <c r="C373" s="2" t="inlineStr">
        <is>
          <t xml:space="preserve">Sq *Simple Beauty Southport NC</t>
        </is>
      </c>
      <c r="D373" s="2" t="inlineStr">
        <is>
          <t xml:space="preserve">Personal Care – Simple Beauty</t>
        </is>
      </c>
      <c r="E373" s="2" t="inlineStr">
        <is>
          <t xml:space="preserve">Personal</t>
        </is>
      </c>
      <c r="F373" s="3">
        <v>82.0</v>
      </c>
    </row>
    <row r="374">
      <c r="A374" s="2" t="inlineStr">
        <is>
          <t xml:space="preserve">September 2026</t>
        </is>
      </c>
      <c r="B374" s="4">
        <v>46268</v>
      </c>
      <c r="C374" s="2" t="inlineStr">
        <is>
          <t xml:space="preserve">Tst*Little Pigs Bb Myrtle Beach</t>
        </is>
      </c>
      <c r="D374" s="2" t="inlineStr">
        <is>
          <t xml:space="preserve">Restaurants &amp; Takeout</t>
        </is>
      </c>
      <c r="E374" s="2" t="inlineStr">
        <is>
          <t xml:space="preserve">Food</t>
        </is>
      </c>
      <c r="F374" s="3">
        <v>15.47</v>
      </c>
    </row>
    <row r="375">
      <c r="A375" s="2" t="inlineStr">
        <is>
          <t xml:space="preserve">September 2026</t>
        </is>
      </c>
      <c r="B375" s="4">
        <v>46268</v>
      </c>
      <c r="C375" s="2" t="inlineStr">
        <is>
          <t xml:space="preserve">Lowes Foods #27 Southport NC</t>
        </is>
      </c>
      <c r="D375" s="2" t="inlineStr">
        <is>
          <t xml:space="preserve">Grocery – Lowes Foods</t>
        </is>
      </c>
      <c r="E375" s="2" t="inlineStr">
        <is>
          <t xml:space="preserve">Groceries</t>
        </is>
      </c>
      <c r="F375" s="3">
        <v>28.23</v>
      </c>
    </row>
    <row r="376">
      <c r="A376" s="2" t="inlineStr">
        <is>
          <t xml:space="preserve">September 2026</t>
        </is>
      </c>
      <c r="B376" s="4">
        <v>46269</v>
      </c>
      <c r="C376" s="2" t="inlineStr">
        <is>
          <t xml:space="preserve">The Color Bar Hair Southport NC</t>
        </is>
      </c>
      <c r="D376" s="2" t="inlineStr">
        <is>
          <t xml:space="preserve">Haircuts – The Color Bar</t>
        </is>
      </c>
      <c r="E376" s="2" t="inlineStr">
        <is>
          <t xml:space="preserve">Personal</t>
        </is>
      </c>
      <c r="F376" s="3">
        <v>32.5</v>
      </c>
    </row>
    <row r="377">
      <c r="A377" s="2" t="inlineStr">
        <is>
          <t xml:space="preserve">September 2026</t>
        </is>
      </c>
      <c r="B377" s="4">
        <v>46269</v>
      </c>
      <c r="C377" s="2" t="inlineStr">
        <is>
          <t xml:space="preserve">McDonald's F7702 Southport NC</t>
        </is>
      </c>
      <c r="D377" s="2" t="inlineStr">
        <is>
          <t xml:space="preserve">Restaurants &amp; Takeout</t>
        </is>
      </c>
      <c r="E377" s="2" t="inlineStr">
        <is>
          <t xml:space="preserve">Food</t>
        </is>
      </c>
      <c r="F377" s="3">
        <v>9.15</v>
      </c>
    </row>
    <row r="378">
      <c r="A378" s="2" t="inlineStr">
        <is>
          <t xml:space="preserve">September 2026</t>
        </is>
      </c>
      <c r="B378" s="4">
        <v>46273</v>
      </c>
      <c r="C378" s="2" t="inlineStr">
        <is>
          <t xml:space="preserve">Frndlytv Inc*+ 1Ad</t>
        </is>
      </c>
      <c r="D378" s="2" t="inlineStr">
        <is>
          <t xml:space="preserve">Streaming – Frndly TV</t>
        </is>
      </c>
      <c r="E378" s="2" t="inlineStr">
        <is>
          <t xml:space="preserve">Streaming</t>
        </is>
      </c>
      <c r="F378" s="3">
        <v>22.41</v>
      </c>
    </row>
    <row r="379">
      <c r="A379" s="2" t="inlineStr">
        <is>
          <t xml:space="preserve">September 2026</t>
        </is>
      </c>
      <c r="B379" s="4">
        <v>46273</v>
      </c>
      <c r="C379" s="2" t="inlineStr">
        <is>
          <t xml:space="preserve">Southport Spices Southport NC</t>
        </is>
      </c>
      <c r="D379" s="2" t="inlineStr">
        <is>
          <t xml:space="preserve">Retail – Local shops (Hippie Chick, Southport Spices, Mad River, Coastal Carolina)</t>
        </is>
      </c>
      <c r="E379" s="2" t="inlineStr">
        <is>
          <t xml:space="preserve">Retail</t>
        </is>
      </c>
      <c r="F379" s="3">
        <v>59.99</v>
      </c>
    </row>
    <row r="380">
      <c r="A380" s="2" t="inlineStr">
        <is>
          <t xml:space="preserve">September 2026</t>
        </is>
      </c>
      <c r="B380" s="4">
        <v>46273</v>
      </c>
      <c r="C380" s="2" t="inlineStr">
        <is>
          <t xml:space="preserve">Sp Hippie Chick Gr</t>
        </is>
      </c>
      <c r="D380" s="2" t="inlineStr">
        <is>
          <t xml:space="preserve">Retail – Local shops (Hippie Chick, Southport Spices, Mad River, Coastal Carolina)</t>
        </is>
      </c>
      <c r="E380" s="2" t="inlineStr">
        <is>
          <t xml:space="preserve">Retail</t>
        </is>
      </c>
      <c r="F380" s="3">
        <v>36.99</v>
      </c>
    </row>
    <row r="381">
      <c r="A381" s="2" t="inlineStr">
        <is>
          <t xml:space="preserve">September 2026</t>
        </is>
      </c>
      <c r="B381" s="4">
        <v>46273</v>
      </c>
      <c r="C381" s="2" t="inlineStr">
        <is>
          <t xml:space="preserve">Fishy Fishy Cafe Southport NC</t>
        </is>
      </c>
      <c r="D381" s="2" t="inlineStr">
        <is>
          <t xml:space="preserve">Restaurants &amp; Takeout</t>
        </is>
      </c>
      <c r="E381" s="2" t="inlineStr">
        <is>
          <t xml:space="preserve">Food</t>
        </is>
      </c>
      <c r="F381" s="3">
        <v>129.69</v>
      </c>
    </row>
    <row r="382">
      <c r="A382" s="2" t="inlineStr">
        <is>
          <t xml:space="preserve">September 2026</t>
        </is>
      </c>
      <c r="B382" s="4">
        <v>46273</v>
      </c>
      <c r="C382" s="2" t="inlineStr">
        <is>
          <t xml:space="preserve">Publix #1703 Oak Island NC</t>
        </is>
      </c>
      <c r="D382" s="2" t="inlineStr">
        <is>
          <t xml:space="preserve">Grocery – Publix</t>
        </is>
      </c>
      <c r="E382" s="2" t="inlineStr">
        <is>
          <t xml:space="preserve">Groceries</t>
        </is>
      </c>
      <c r="F382" s="3">
        <v>121.64</v>
      </c>
    </row>
    <row r="383">
      <c r="A383" s="2" t="inlineStr">
        <is>
          <t xml:space="preserve">September 2026</t>
        </is>
      </c>
      <c r="B383" s="4">
        <v>46273</v>
      </c>
      <c r="C383" s="2" t="inlineStr">
        <is>
          <t xml:space="preserve">Venmo *Mark Bickler</t>
        </is>
      </c>
      <c r="D383" s="2" t="inlineStr">
        <is>
          <t xml:space="preserve">Transfers to People (Venmo/Zelle)</t>
        </is>
      </c>
      <c r="E383" s="2" t="inlineStr">
        <is>
          <t xml:space="preserve">Transfers</t>
        </is>
      </c>
      <c r="F383" s="3">
        <v>130.0</v>
      </c>
    </row>
    <row r="384">
      <c r="A384" s="2" t="inlineStr">
        <is>
          <t xml:space="preserve">September 2026</t>
        </is>
      </c>
      <c r="B384" s="4">
        <v>46273</v>
      </c>
      <c r="C384" s="2" t="inlineStr">
        <is>
          <t xml:space="preserve">Tst*Lucca Italian Shallotte NC</t>
        </is>
      </c>
      <c r="D384" s="2" t="inlineStr">
        <is>
          <t xml:space="preserve">Restaurants &amp; Takeout</t>
        </is>
      </c>
      <c r="E384" s="2" t="inlineStr">
        <is>
          <t xml:space="preserve">Food</t>
        </is>
      </c>
      <c r="F384" s="3">
        <v>104.54</v>
      </c>
    </row>
    <row r="385">
      <c r="A385" s="2" t="inlineStr">
        <is>
          <t xml:space="preserve">September 2026</t>
        </is>
      </c>
      <c r="B385" s="4">
        <v>46273</v>
      </c>
      <c r="C385" s="2" t="inlineStr">
        <is>
          <t xml:space="preserve">Delta Dental of Delta Dent</t>
        </is>
      </c>
      <c r="D385" s="2" t="inlineStr">
        <is>
          <t xml:space="preserve">Dental Insurance – Delta Dental</t>
        </is>
      </c>
      <c r="E385" s="2" t="inlineStr">
        <is>
          <t xml:space="preserve">Insurance</t>
        </is>
      </c>
      <c r="F385" s="3">
        <v>69.36</v>
      </c>
    </row>
    <row r="386">
      <c r="A386" s="2" t="inlineStr">
        <is>
          <t xml:space="preserve">September 2026</t>
        </is>
      </c>
      <c r="B386" s="4">
        <v>46273</v>
      </c>
      <c r="C386" s="2" t="inlineStr">
        <is>
          <t xml:space="preserve">Banner Life Prem Debit 17180884647</t>
        </is>
      </c>
      <c r="D386" s="2" t="inlineStr">
        <is>
          <t xml:space="preserve">Banner Life Insurance</t>
        </is>
      </c>
      <c r="E386" s="2" t="inlineStr">
        <is>
          <t xml:space="preserve">Insurance</t>
        </is>
      </c>
      <c r="F386" s="3">
        <v>710.06</v>
      </c>
    </row>
    <row r="387">
      <c r="A387" s="2" t="inlineStr">
        <is>
          <t xml:space="preserve">September 2026</t>
        </is>
      </c>
      <c r="B387" s="4">
        <v>46274</v>
      </c>
      <c r="C387" s="2" t="inlineStr">
        <is>
          <t xml:space="preserve">Lowes Foods #27 Southport NC</t>
        </is>
      </c>
      <c r="D387" s="2" t="inlineStr">
        <is>
          <t xml:space="preserve">Grocery – Lowes Foods</t>
        </is>
      </c>
      <c r="E387" s="2" t="inlineStr">
        <is>
          <t xml:space="preserve">Groceries</t>
        </is>
      </c>
      <c r="F387" s="3">
        <v>221.77</v>
      </c>
    </row>
    <row r="388">
      <c r="A388" s="2" t="inlineStr">
        <is>
          <t xml:space="preserve">September 2026</t>
        </is>
      </c>
      <c r="B388" s="4">
        <v>46274</v>
      </c>
      <c r="C388" s="2" t="inlineStr">
        <is>
          <t xml:space="preserve">Wtw Ccc Tccc 2026SEP</t>
        </is>
      </c>
      <c r="D388" s="2" t="inlineStr">
        <is>
          <t xml:space="preserve">WTW Health Premium (reimbursed by Via Benefits)</t>
        </is>
      </c>
      <c r="E388" s="2" t="inlineStr">
        <is>
          <t xml:space="preserve">Excluded</t>
        </is>
      </c>
      <c r="F388" s="3">
        <v>2576.0</v>
      </c>
    </row>
    <row r="389">
      <c r="A389" s="2" t="inlineStr">
        <is>
          <t xml:space="preserve">September 2026</t>
        </is>
      </c>
      <c r="B389" s="4">
        <v>46275</v>
      </c>
      <c r="C389" s="2" t="inlineStr">
        <is>
          <t xml:space="preserve">NC Quick Pass 877-769-7277 NC</t>
        </is>
      </c>
      <c r="D389" s="2" t="inlineStr">
        <is>
          <t xml:space="preserve">Tolls &amp; Parking</t>
        </is>
      </c>
      <c r="E389" s="2" t="inlineStr">
        <is>
          <t xml:space="preserve">Transportation</t>
        </is>
      </c>
      <c r="F389" s="3">
        <v>68.24</v>
      </c>
    </row>
    <row r="390">
      <c r="A390" s="2" t="inlineStr">
        <is>
          <t xml:space="preserve">September 2026</t>
        </is>
      </c>
      <c r="B390" s="4">
        <v>46275</v>
      </c>
      <c r="C390" s="2" t="inlineStr">
        <is>
          <t xml:space="preserve">Aci*Blue Cross NC</t>
        </is>
      </c>
      <c r="D390" s="2" t="inlineStr">
        <is>
          <t xml:space="preserve">Health Insurance – Blue Cross NC</t>
        </is>
      </c>
      <c r="E390" s="2" t="inlineStr">
        <is>
          <t xml:space="preserve">Insurance</t>
        </is>
      </c>
      <c r="F390" s="3">
        <v>216.25</v>
      </c>
    </row>
    <row r="391">
      <c r="A391" s="2" t="inlineStr">
        <is>
          <t xml:space="preserve">September 2026</t>
        </is>
      </c>
      <c r="B391" s="4">
        <v>46275</v>
      </c>
      <c r="C391" s="2" t="inlineStr">
        <is>
          <t xml:space="preserve">Pt *Dosher Hospita</t>
        </is>
      </c>
      <c r="D391" s="2" t="inlineStr">
        <is>
          <t xml:space="preserve">Medical – Dosher Hospital (Southport)</t>
        </is>
      </c>
      <c r="E391" s="2" t="inlineStr">
        <is>
          <t xml:space="preserve">Health</t>
        </is>
      </c>
      <c r="F391" s="3">
        <v>100.28</v>
      </c>
    </row>
    <row r="392">
      <c r="A392" s="2" t="inlineStr">
        <is>
          <t xml:space="preserve">September 2026</t>
        </is>
      </c>
      <c r="B392" s="4">
        <v>46275</v>
      </c>
      <c r="C392" s="2" t="inlineStr">
        <is>
          <t xml:space="preserve">Bemc - Ecc WWW.Bemc.Coop NC</t>
        </is>
      </c>
      <c r="D392" s="2" t="inlineStr">
        <is>
          <t xml:space="preserve">Utility – Electric (BEMC)</t>
        </is>
      </c>
      <c r="E392" s="2" t="inlineStr">
        <is>
          <t xml:space="preserve">Utilities</t>
        </is>
      </c>
      <c r="F392" s="3">
        <v>419.66</v>
      </c>
    </row>
    <row r="393">
      <c r="A393" s="2" t="inlineStr">
        <is>
          <t xml:space="preserve">September 2026</t>
        </is>
      </c>
      <c r="B393" s="4">
        <v>46275</v>
      </c>
      <c r="C393" s="2" t="inlineStr">
        <is>
          <t xml:space="preserve">Focus Broadband Clover.Com NC</t>
        </is>
      </c>
      <c r="D393" s="2" t="inlineStr">
        <is>
          <t xml:space="preserve">Internet – Focus Broadband</t>
        </is>
      </c>
      <c r="E393" s="2" t="inlineStr">
        <is>
          <t xml:space="preserve">Phone &amp; Internet</t>
        </is>
      </c>
      <c r="F393" s="3">
        <v>80.79</v>
      </c>
    </row>
    <row r="394">
      <c r="A394" s="2" t="inlineStr">
        <is>
          <t xml:space="preserve">September 2026</t>
        </is>
      </c>
      <c r="B394" s="4">
        <v>46275</v>
      </c>
      <c r="C394" s="2" t="inlineStr">
        <is>
          <t xml:space="preserve">Lowe's #682 Southport NC</t>
        </is>
      </c>
      <c r="D394" s="2" t="inlineStr">
        <is>
          <t xml:space="preserve">Retail – Lowe's (home improvement)</t>
        </is>
      </c>
      <c r="E394" s="2" t="inlineStr">
        <is>
          <t xml:space="preserve">Retail</t>
        </is>
      </c>
      <c r="F394" s="3">
        <v>85.27</v>
      </c>
    </row>
    <row r="395">
      <c r="A395" s="2" t="inlineStr">
        <is>
          <t xml:space="preserve">September 2026</t>
        </is>
      </c>
      <c r="B395" s="4">
        <v>46279</v>
      </c>
      <c r="C395" s="2" t="inlineStr">
        <is>
          <t xml:space="preserve">Opc*Brunswick CO U</t>
        </is>
      </c>
      <c r="D395" s="2" t="inlineStr">
        <is>
          <t xml:space="preserve">Utility – Water/Sewer (Brunswick County)</t>
        </is>
      </c>
      <c r="E395" s="2" t="inlineStr">
        <is>
          <t xml:space="preserve">Utilities</t>
        </is>
      </c>
      <c r="F395" s="3">
        <v>81.31</v>
      </c>
    </row>
    <row r="396">
      <c r="A396" s="2" t="inlineStr">
        <is>
          <t xml:space="preserve">September 2026</t>
        </is>
      </c>
      <c r="B396" s="4">
        <v>46279</v>
      </c>
      <c r="C396" s="2" t="inlineStr">
        <is>
          <t xml:space="preserve">Opc Utl*Service Fe</t>
        </is>
      </c>
      <c r="D396" s="2" t="inlineStr">
        <is>
          <t xml:space="preserve">Utility – Water/Sewer (Brunswick County)</t>
        </is>
      </c>
      <c r="E396" s="2" t="inlineStr">
        <is>
          <t xml:space="preserve">Utilities</t>
        </is>
      </c>
      <c r="F396" s="3">
        <v>2.95</v>
      </c>
    </row>
    <row r="397">
      <c r="A397" s="2" t="inlineStr">
        <is>
          <t xml:space="preserve">September 2026</t>
        </is>
      </c>
      <c r="B397" s="4">
        <v>46279</v>
      </c>
      <c r="C397" s="2" t="inlineStr">
        <is>
          <t xml:space="preserve">Kiwanis Club of So Southport NC</t>
        </is>
      </c>
      <c r="D397" s="2" t="inlineStr">
        <is>
          <t xml:space="preserve">Donations &amp; Clubs (Kiwanis)</t>
        </is>
      </c>
      <c r="E397" s="2" t="inlineStr">
        <is>
          <t xml:space="preserve">Other</t>
        </is>
      </c>
      <c r="F397" s="3">
        <v>200.0</v>
      </c>
    </row>
    <row r="398">
      <c r="A398" s="2" t="inlineStr">
        <is>
          <t xml:space="preserve">September 2026</t>
        </is>
      </c>
      <c r="B398" s="4">
        <v>46279</v>
      </c>
      <c r="C398" s="2" t="inlineStr">
        <is>
          <t xml:space="preserve">Disney Plus Ecom</t>
        </is>
      </c>
      <c r="D398" s="2" t="inlineStr">
        <is>
          <t xml:space="preserve">Streaming – ESPN (Sept billed as Disney Plus)</t>
        </is>
      </c>
      <c r="E398" s="2" t="inlineStr">
        <is>
          <t xml:space="preserve">Streaming</t>
        </is>
      </c>
      <c r="F398" s="3">
        <v>13.87</v>
      </c>
    </row>
    <row r="399">
      <c r="A399" s="2" t="inlineStr">
        <is>
          <t xml:space="preserve">September 2026</t>
        </is>
      </c>
      <c r="B399" s="4">
        <v>46279</v>
      </c>
      <c r="C399" s="2" t="inlineStr">
        <is>
          <t xml:space="preserve">Google Youtubetv N</t>
        </is>
      </c>
      <c r="D399" s="2" t="inlineStr">
        <is>
          <t xml:space="preserve">Streaming – YouTube TV (Google)</t>
        </is>
      </c>
      <c r="E399" s="2" t="inlineStr">
        <is>
          <t xml:space="preserve">Streaming</t>
        </is>
      </c>
      <c r="F399" s="3">
        <v>43.43</v>
      </c>
    </row>
    <row r="400">
      <c r="A400" s="2" t="inlineStr">
        <is>
          <t xml:space="preserve">September 2026</t>
        </is>
      </c>
      <c r="B400" s="4">
        <v>46279</v>
      </c>
      <c r="C400" s="2" t="inlineStr">
        <is>
          <t xml:space="preserve">Village Store 4 Wallace NC</t>
        </is>
      </c>
      <c r="D400" s="2" t="inlineStr">
        <is>
          <t xml:space="preserve">Gas &amp; Convenience Stores</t>
        </is>
      </c>
      <c r="E400" s="2" t="inlineStr">
        <is>
          <t xml:space="preserve">Transportation</t>
        </is>
      </c>
      <c r="F400" s="3">
        <v>52.03</v>
      </c>
    </row>
    <row r="401">
      <c r="A401" s="2" t="inlineStr">
        <is>
          <t xml:space="preserve">September 2026</t>
        </is>
      </c>
      <c r="B401" s="4">
        <v>46279</v>
      </c>
      <c r="C401" s="2" t="inlineStr">
        <is>
          <t xml:space="preserve">NY Pizza - Bass PR Cary NC</t>
        </is>
      </c>
      <c r="D401" s="2" t="inlineStr">
        <is>
          <t xml:space="preserve">Restaurants &amp; Takeout</t>
        </is>
      </c>
      <c r="E401" s="2" t="inlineStr">
        <is>
          <t xml:space="preserve">Food</t>
        </is>
      </c>
      <c r="F401" s="3">
        <v>34.89</v>
      </c>
    </row>
    <row r="402">
      <c r="A402" s="2" t="inlineStr">
        <is>
          <t xml:space="preserve">September 2026</t>
        </is>
      </c>
      <c r="B402" s="4">
        <v>46279</v>
      </c>
      <c r="C402" s="2" t="inlineStr">
        <is>
          <t xml:space="preserve">Lowes Food #235 Bolivia NC</t>
        </is>
      </c>
      <c r="D402" s="2" t="inlineStr">
        <is>
          <t xml:space="preserve">Grocery – Lowes Foods</t>
        </is>
      </c>
      <c r="E402" s="2" t="inlineStr">
        <is>
          <t xml:space="preserve">Groceries</t>
        </is>
      </c>
      <c r="F402" s="3">
        <v>88.63</v>
      </c>
    </row>
    <row r="403">
      <c r="A403" s="2" t="inlineStr">
        <is>
          <t xml:space="preserve">September 2026</t>
        </is>
      </c>
      <c r="B403" s="4">
        <v>46279</v>
      </c>
      <c r="C403" s="2" t="inlineStr">
        <is>
          <t xml:space="preserve">Dept Education Student Ln 0000</t>
        </is>
      </c>
      <c r="D403" s="2" t="inlineStr">
        <is>
          <t xml:space="preserve">Student Loan (Dept of Education)</t>
        </is>
      </c>
      <c r="E403" s="2" t="inlineStr">
        <is>
          <t xml:space="preserve">Student Loan</t>
        </is>
      </c>
      <c r="F403" s="3">
        <v>160.37</v>
      </c>
    </row>
    <row r="404">
      <c r="A404" s="2" t="inlineStr">
        <is>
          <t xml:space="preserve">September 2026</t>
        </is>
      </c>
      <c r="B404" s="4">
        <v>46280</v>
      </c>
      <c r="C404" s="2" t="inlineStr">
        <is>
          <t xml:space="preserve">Amk Duke South Wps Durham</t>
        </is>
      </c>
      <c r="D404" s="2" t="inlineStr">
        <is>
          <t xml:space="preserve">Medical – Duke Hospital (Durham, food &amp; parking)</t>
        </is>
      </c>
      <c r="E404" s="2" t="inlineStr">
        <is>
          <t xml:space="preserve">Health</t>
        </is>
      </c>
      <c r="F404" s="3">
        <v>8.75</v>
      </c>
    </row>
    <row r="405">
      <c r="A405" s="2" t="inlineStr">
        <is>
          <t xml:space="preserve">September 2026</t>
        </is>
      </c>
      <c r="B405" s="4">
        <v>46280</v>
      </c>
      <c r="C405" s="2" t="inlineStr">
        <is>
          <t xml:space="preserve">Autobks*Nextgen LA</t>
        </is>
      </c>
      <c r="D405" s="2" t="inlineStr">
        <is>
          <t xml:space="preserve">Yard Company (NextGen)</t>
        </is>
      </c>
      <c r="E405" s="2" t="inlineStr">
        <is>
          <t xml:space="preserve">Home</t>
        </is>
      </c>
      <c r="F405" s="3">
        <v>60.0</v>
      </c>
    </row>
    <row r="406">
      <c r="A406" s="2" t="inlineStr">
        <is>
          <t xml:space="preserve">September 2026</t>
        </is>
      </c>
      <c r="B406" s="4">
        <v>46280</v>
      </c>
      <c r="C406" s="2" t="inlineStr">
        <is>
          <t xml:space="preserve">Duke Pkg I Durham NC</t>
        </is>
      </c>
      <c r="D406" s="2" t="inlineStr">
        <is>
          <t xml:space="preserve">Medical – Duke Hospital (Durham, food &amp; parking)</t>
        </is>
      </c>
      <c r="E406" s="2" t="inlineStr">
        <is>
          <t xml:space="preserve">Health</t>
        </is>
      </c>
      <c r="F406" s="3">
        <v>6.0</v>
      </c>
    </row>
    <row r="407">
      <c r="A407" s="2" t="inlineStr">
        <is>
          <t xml:space="preserve">September 2026</t>
        </is>
      </c>
      <c r="B407" s="4">
        <v>46280</v>
      </c>
      <c r="C407" s="2" t="inlineStr">
        <is>
          <t xml:space="preserve">Non-WF ATM Withdrawal authorized on 09/15 5084 Southport</t>
        </is>
      </c>
      <c r="D407" s="2" t="inlineStr">
        <is>
          <t xml:space="preserve">Cash (ATM) &amp; Bank Fees</t>
        </is>
      </c>
      <c r="E407" s="2" t="inlineStr">
        <is>
          <t xml:space="preserve">Other</t>
        </is>
      </c>
      <c r="F407" s="3">
        <v>144.0</v>
      </c>
    </row>
    <row r="408">
      <c r="A408" s="2" t="inlineStr">
        <is>
          <t xml:space="preserve">September 2026</t>
        </is>
      </c>
      <c r="B408" s="4">
        <v>46280</v>
      </c>
      <c r="C408" s="2" t="inlineStr">
        <is>
          <t xml:space="preserve">Non-Wells Fargo ATM Transaction Fee</t>
        </is>
      </c>
      <c r="D408" s="2" t="inlineStr">
        <is>
          <t xml:space="preserve">Cash (ATM) &amp; Bank Fees</t>
        </is>
      </c>
      <c r="E408" s="2" t="inlineStr">
        <is>
          <t xml:space="preserve">Other</t>
        </is>
      </c>
      <c r="F408" s="3">
        <v>3.0</v>
      </c>
    </row>
    <row r="409">
      <c r="A409" s="2" t="inlineStr">
        <is>
          <t xml:space="preserve">September 2026</t>
        </is>
      </c>
      <c r="B409" s="4">
        <v>46280</v>
      </c>
      <c r="C409" s="2" t="inlineStr">
        <is>
          <t xml:space="preserve">Circlek #2723487 16 Oc Supply</t>
        </is>
      </c>
      <c r="D409" s="2" t="inlineStr">
        <is>
          <t xml:space="preserve">Gas &amp; Convenience Stores</t>
        </is>
      </c>
      <c r="E409" s="2" t="inlineStr">
        <is>
          <t xml:space="preserve">Transportation</t>
        </is>
      </c>
      <c r="F409" s="3">
        <v>49.21</v>
      </c>
    </row>
    <row r="410">
      <c r="A410" s="2" t="inlineStr">
        <is>
          <t xml:space="preserve">September 2026</t>
        </is>
      </c>
      <c r="B410" s="4">
        <v>46280</v>
      </c>
      <c r="C410" s="2" t="inlineStr">
        <is>
          <t xml:space="preserve">Marshalls #1502 Shallotte NC</t>
        </is>
      </c>
      <c r="D410" s="2" t="inlineStr">
        <is>
          <t xml:space="preserve">Retail – Marshalls</t>
        </is>
      </c>
      <c r="E410" s="2" t="inlineStr">
        <is>
          <t xml:space="preserve">Retail</t>
        </is>
      </c>
      <c r="F410" s="3">
        <v>41.59</v>
      </c>
    </row>
    <row r="411">
      <c r="A411" s="2" t="inlineStr">
        <is>
          <t xml:space="preserve">September 2026</t>
        </is>
      </c>
      <c r="B411" s="4">
        <v>46280</v>
      </c>
      <c r="C411" s="2" t="inlineStr">
        <is>
          <t xml:space="preserve">Hobbylobby Shallotte NC</t>
        </is>
      </c>
      <c r="D411" s="2" t="inlineStr">
        <is>
          <t xml:space="preserve">Retail – Hobby Lobby</t>
        </is>
      </c>
      <c r="E411" s="2" t="inlineStr">
        <is>
          <t xml:space="preserve">Retail</t>
        </is>
      </c>
      <c r="F411" s="3">
        <v>37.33</v>
      </c>
    </row>
    <row r="412">
      <c r="A412" s="2" t="inlineStr">
        <is>
          <t xml:space="preserve">September 2026</t>
        </is>
      </c>
      <c r="B412" s="4">
        <v>46280</v>
      </c>
      <c r="C412" s="2" t="inlineStr">
        <is>
          <t xml:space="preserve">A&amp;D Mortgage LLC Re Payment</t>
        </is>
      </c>
      <c r="D412" s="2" t="inlineStr">
        <is>
          <t xml:space="preserve">A&amp;D Mortgage</t>
        </is>
      </c>
      <c r="E412" s="2" t="inlineStr">
        <is>
          <t xml:space="preserve">Housing</t>
        </is>
      </c>
      <c r="F412" s="3">
        <v>3411.1</v>
      </c>
    </row>
    <row r="413">
      <c r="A413" s="2" t="inlineStr">
        <is>
          <t xml:space="preserve">September 2026</t>
        </is>
      </c>
      <c r="B413" s="4">
        <v>46281</v>
      </c>
      <c r="C413" s="2" t="inlineStr">
        <is>
          <t xml:space="preserve">Wendys 333 Garner NC</t>
        </is>
      </c>
      <c r="D413" s="2" t="inlineStr">
        <is>
          <t xml:space="preserve">Restaurants &amp; Takeout</t>
        </is>
      </c>
      <c r="E413" s="2" t="inlineStr">
        <is>
          <t xml:space="preserve">Food</t>
        </is>
      </c>
      <c r="F413" s="3">
        <v>13.86</v>
      </c>
    </row>
    <row r="414">
      <c r="A414" s="2" t="inlineStr">
        <is>
          <t xml:space="preserve">September 2026</t>
        </is>
      </c>
      <c r="B414" s="4">
        <v>46281</v>
      </c>
      <c r="C414" s="2" t="inlineStr">
        <is>
          <t xml:space="preserve">McDonald's F35966 Supply NC</t>
        </is>
      </c>
      <c r="D414" s="2" t="inlineStr">
        <is>
          <t xml:space="preserve">Restaurants &amp; Takeout</t>
        </is>
      </c>
      <c r="E414" s="2" t="inlineStr">
        <is>
          <t xml:space="preserve">Food</t>
        </is>
      </c>
      <c r="F414" s="3">
        <v>9.58</v>
      </c>
    </row>
    <row r="415">
      <c r="A415" s="2" t="inlineStr">
        <is>
          <t xml:space="preserve">September 2026</t>
        </is>
      </c>
      <c r="B415" s="4">
        <v>46282</v>
      </c>
      <c r="C415" s="2" t="inlineStr">
        <is>
          <t xml:space="preserve">Chick-Fil-A #04769 Shallotte NC</t>
        </is>
      </c>
      <c r="D415" s="2" t="inlineStr">
        <is>
          <t xml:space="preserve">Restaurants &amp; Takeout</t>
        </is>
      </c>
      <c r="E415" s="2" t="inlineStr">
        <is>
          <t xml:space="preserve">Food</t>
        </is>
      </c>
      <c r="F415" s="3">
        <v>10.05</v>
      </c>
    </row>
    <row r="416">
      <c r="A416" s="2" t="inlineStr">
        <is>
          <t xml:space="preserve">September 2026</t>
        </is>
      </c>
      <c r="B416" s="4">
        <v>46282</v>
      </c>
      <c r="C416" s="2" t="inlineStr">
        <is>
          <t xml:space="preserve">Ross Store #2284 Shallotte NC</t>
        </is>
      </c>
      <c r="D416" s="2" t="inlineStr">
        <is>
          <t xml:space="preserve">Retail – Ross</t>
        </is>
      </c>
      <c r="E416" s="2" t="inlineStr">
        <is>
          <t xml:space="preserve">Retail</t>
        </is>
      </c>
      <c r="F416" s="3">
        <v>16.32</v>
      </c>
    </row>
    <row r="417">
      <c r="A417" s="2" t="inlineStr">
        <is>
          <t xml:space="preserve">September 2026</t>
        </is>
      </c>
      <c r="B417" s="4">
        <v>46282</v>
      </c>
      <c r="C417" s="2" t="inlineStr">
        <is>
          <t xml:space="preserve">Tst* The Grumpy MO Myrtle</t>
        </is>
      </c>
      <c r="D417" s="2" t="inlineStr">
        <is>
          <t xml:space="preserve">Restaurants &amp; Takeout</t>
        </is>
      </c>
      <c r="E417" s="2" t="inlineStr">
        <is>
          <t xml:space="preserve">Food</t>
        </is>
      </c>
      <c r="F417" s="3">
        <v>25.97</v>
      </c>
    </row>
    <row r="418">
      <c r="A418" s="2" t="inlineStr">
        <is>
          <t xml:space="preserve">September 2026</t>
        </is>
      </c>
      <c r="B418" s="4">
        <v>46282</v>
      </c>
      <c r="C418" s="2" t="inlineStr">
        <is>
          <t xml:space="preserve">McDonald's F31556 Little River</t>
        </is>
      </c>
      <c r="D418" s="2" t="inlineStr">
        <is>
          <t xml:space="preserve">Restaurants &amp; Takeout</t>
        </is>
      </c>
      <c r="E418" s="2" t="inlineStr">
        <is>
          <t xml:space="preserve">Food</t>
        </is>
      </c>
      <c r="F418" s="3">
        <v>11.25</v>
      </c>
    </row>
    <row r="419">
      <c r="A419" s="2" t="inlineStr">
        <is>
          <t xml:space="preserve">September 2026</t>
        </is>
      </c>
      <c r="B419" s="4">
        <v>46282</v>
      </c>
      <c r="C419" s="2" t="inlineStr">
        <is>
          <t xml:space="preserve">+Lincoln Nationa EDI Pymnt</t>
        </is>
      </c>
      <c r="D419" s="2" t="inlineStr">
        <is>
          <t xml:space="preserve">Life Insurance (Lincoln National)</t>
        </is>
      </c>
      <c r="E419" s="2" t="inlineStr">
        <is>
          <t xml:space="preserve">Insurance</t>
        </is>
      </c>
      <c r="F419" s="3">
        <v>73.61</v>
      </c>
    </row>
    <row r="420">
      <c r="A420" s="2" t="inlineStr">
        <is>
          <t xml:space="preserve">September 2026</t>
        </is>
      </c>
      <c r="B420" s="4">
        <v>46283</v>
      </c>
      <c r="C420" s="2" t="inlineStr">
        <is>
          <t xml:space="preserve">Starbucks Store 71 Southport</t>
        </is>
      </c>
      <c r="D420" s="2" t="inlineStr">
        <is>
          <t xml:space="preserve">Restaurants &amp; Takeout</t>
        </is>
      </c>
      <c r="E420" s="2" t="inlineStr">
        <is>
          <t xml:space="preserve">Food</t>
        </is>
      </c>
      <c r="F420" s="3">
        <v>9.42</v>
      </c>
    </row>
    <row r="421">
      <c r="A421" s="2" t="inlineStr">
        <is>
          <t xml:space="preserve">September 2026</t>
        </is>
      </c>
      <c r="B421" s="4">
        <v>46283</v>
      </c>
      <c r="C421" s="2" t="inlineStr">
        <is>
          <t xml:space="preserve">San Felipe Mexican</t>
        </is>
      </c>
      <c r="D421" s="2" t="inlineStr">
        <is>
          <t xml:space="preserve">Restaurants &amp; Takeout</t>
        </is>
      </c>
      <c r="E421" s="2" t="inlineStr">
        <is>
          <t xml:space="preserve">Food</t>
        </is>
      </c>
      <c r="F421" s="3">
        <v>17.86</v>
      </c>
    </row>
    <row r="422">
      <c r="A422" s="2" t="inlineStr">
        <is>
          <t xml:space="preserve">September 2026</t>
        </is>
      </c>
      <c r="B422" s="4">
        <v>46286</v>
      </c>
      <c r="C422" s="2" t="inlineStr">
        <is>
          <t xml:space="preserve">Chick-Fil-A #04769 Shallotte NC</t>
        </is>
      </c>
      <c r="D422" s="2" t="inlineStr">
        <is>
          <t xml:space="preserve">Restaurants &amp; Takeout</t>
        </is>
      </c>
      <c r="E422" s="2" t="inlineStr">
        <is>
          <t xml:space="preserve">Food</t>
        </is>
      </c>
      <c r="F422" s="3">
        <v>18.49</v>
      </c>
    </row>
    <row r="423">
      <c r="A423" s="2" t="inlineStr">
        <is>
          <t xml:space="preserve">September 2026</t>
        </is>
      </c>
      <c r="B423" s="4">
        <v>46286</v>
      </c>
      <c r="C423" s="2" t="inlineStr">
        <is>
          <t xml:space="preserve">Allstate *Paymn</t>
        </is>
      </c>
      <c r="D423" s="2" t="inlineStr">
        <is>
          <t xml:space="preserve">Allstate Insurance</t>
        </is>
      </c>
      <c r="E423" s="2" t="inlineStr">
        <is>
          <t xml:space="preserve">Insurance</t>
        </is>
      </c>
      <c r="F423" s="3">
        <v>354.17</v>
      </c>
    </row>
    <row r="424">
      <c r="A424" s="2" t="inlineStr">
        <is>
          <t xml:space="preserve">September 2026</t>
        </is>
      </c>
      <c r="B424" s="4">
        <v>46286</v>
      </c>
      <c r="C424" s="2" t="inlineStr">
        <is>
          <t xml:space="preserve">Publix #1703 Oak Island NC</t>
        </is>
      </c>
      <c r="D424" s="2" t="inlineStr">
        <is>
          <t xml:space="preserve">Grocery – Publix</t>
        </is>
      </c>
      <c r="E424" s="2" t="inlineStr">
        <is>
          <t xml:space="preserve">Groceries</t>
        </is>
      </c>
      <c r="F424" s="3">
        <v>288.5</v>
      </c>
    </row>
    <row r="425">
      <c r="A425" s="2" t="inlineStr">
        <is>
          <t xml:space="preserve">September 2026</t>
        </is>
      </c>
      <c r="B425" s="4">
        <v>46286</v>
      </c>
      <c r="C425" s="2" t="inlineStr">
        <is>
          <t xml:space="preserve">St James 7134 Pap</t>
        </is>
      </c>
      <c r="D425" s="2" t="inlineStr">
        <is>
          <t xml:space="preserve">St. James Membership (Club)</t>
        </is>
      </c>
      <c r="E425" s="2" t="inlineStr">
        <is>
          <t xml:space="preserve">Housing</t>
        </is>
      </c>
      <c r="F425" s="3">
        <v>1767.0</v>
      </c>
    </row>
    <row r="426">
      <c r="A426" s="2" t="inlineStr">
        <is>
          <t xml:space="preserve">September 2026</t>
        </is>
      </c>
      <c r="B426" s="4">
        <v>46286</v>
      </c>
      <c r="C426" s="2" t="inlineStr">
        <is>
          <t xml:space="preserve">Verizon Wireless Payments</t>
        </is>
      </c>
      <c r="D426" s="2" t="inlineStr">
        <is>
          <t xml:space="preserve">Verizon Wireless</t>
        </is>
      </c>
      <c r="E426" s="2" t="inlineStr">
        <is>
          <t xml:space="preserve">Phone &amp; Internet</t>
        </is>
      </c>
      <c r="F426" s="3">
        <v>386.85</v>
      </c>
    </row>
    <row r="427">
      <c r="A427" s="2" t="inlineStr">
        <is>
          <t xml:space="preserve">September 2026</t>
        </is>
      </c>
      <c r="B427" s="4">
        <v>46286</v>
      </c>
      <c r="C427" s="2" t="inlineStr">
        <is>
          <t xml:space="preserve">American Express ACH Pmt W0072</t>
        </is>
      </c>
      <c r="D427" s="2" t="inlineStr">
        <is>
          <t xml:space="preserve">Credit Card Payoff – American Express</t>
        </is>
      </c>
      <c r="E427" s="2" t="inlineStr">
        <is>
          <t xml:space="preserve">Excluded</t>
        </is>
      </c>
      <c r="F427" s="3">
        <v>4738.51</v>
      </c>
    </row>
    <row r="428">
      <c r="A428" s="2" t="inlineStr">
        <is>
          <t xml:space="preserve">September 2026</t>
        </is>
      </c>
      <c r="B428" s="4">
        <v>46287</v>
      </c>
      <c r="C428" s="2" t="inlineStr">
        <is>
          <t xml:space="preserve">Sp Hippie Chick Gr</t>
        </is>
      </c>
      <c r="D428" s="2" t="inlineStr">
        <is>
          <t xml:space="preserve">Retail – Local shops (Hippie Chick, Southport Spices, Mad River, Coastal Carolina)</t>
        </is>
      </c>
      <c r="E428" s="2" t="inlineStr">
        <is>
          <t xml:space="preserve">Retail</t>
        </is>
      </c>
      <c r="F428" s="3">
        <v>22.99</v>
      </c>
    </row>
    <row r="429">
      <c r="A429" s="2" t="inlineStr">
        <is>
          <t xml:space="preserve">September 2026</t>
        </is>
      </c>
      <c r="B429" s="4">
        <v>46287</v>
      </c>
      <c r="C429" s="2" t="inlineStr">
        <is>
          <t xml:space="preserve">Thai &amp; Vine Oak Island NC</t>
        </is>
      </c>
      <c r="D429" s="2" t="inlineStr">
        <is>
          <t xml:space="preserve">Restaurants &amp; Takeout</t>
        </is>
      </c>
      <c r="E429" s="2" t="inlineStr">
        <is>
          <t xml:space="preserve">Food</t>
        </is>
      </c>
      <c r="F429" s="3">
        <v>70.83</v>
      </c>
    </row>
    <row r="430">
      <c r="A430" s="2" t="inlineStr">
        <is>
          <t xml:space="preserve">September 2026</t>
        </is>
      </c>
      <c r="B430" s="4">
        <v>46287</v>
      </c>
      <c r="C430" s="2" t="inlineStr">
        <is>
          <t xml:space="preserve">7-Eleven Myrtle Beach SC</t>
        </is>
      </c>
      <c r="D430" s="2" t="inlineStr">
        <is>
          <t xml:space="preserve">Gas &amp; Convenience Stores</t>
        </is>
      </c>
      <c r="E430" s="2" t="inlineStr">
        <is>
          <t xml:space="preserve">Transportation</t>
        </is>
      </c>
      <c r="F430" s="3">
        <v>8.07</v>
      </c>
    </row>
    <row r="431">
      <c r="A431" s="2" t="inlineStr">
        <is>
          <t xml:space="preserve">September 2026</t>
        </is>
      </c>
      <c r="B431" s="4">
        <v>46288</v>
      </c>
      <c r="C431" s="2" t="inlineStr">
        <is>
          <t xml:space="preserve">Tst*Koko Cabana - Oak Island NC</t>
        </is>
      </c>
      <c r="D431" s="2" t="inlineStr">
        <is>
          <t xml:space="preserve">Restaurants &amp; Takeout</t>
        </is>
      </c>
      <c r="E431" s="2" t="inlineStr">
        <is>
          <t xml:space="preserve">Food</t>
        </is>
      </c>
      <c r="F431" s="3">
        <v>110.34</v>
      </c>
    </row>
    <row r="432">
      <c r="A432" s="2" t="inlineStr">
        <is>
          <t xml:space="preserve">September 2026</t>
        </is>
      </c>
      <c r="B432" s="4">
        <v>46288</v>
      </c>
      <c r="C432" s="2" t="inlineStr">
        <is>
          <t xml:space="preserve">McDonald's F35966 Supply NC</t>
        </is>
      </c>
      <c r="D432" s="2" t="inlineStr">
        <is>
          <t xml:space="preserve">Restaurants &amp; Takeout</t>
        </is>
      </c>
      <c r="E432" s="2" t="inlineStr">
        <is>
          <t xml:space="preserve">Food</t>
        </is>
      </c>
      <c r="F432" s="3">
        <v>11.91</v>
      </c>
    </row>
    <row r="433">
      <c r="A433" s="2" t="inlineStr">
        <is>
          <t xml:space="preserve">September 2026</t>
        </is>
      </c>
      <c r="B433" s="4">
        <v>46288</v>
      </c>
      <c r="C433" s="2" t="inlineStr">
        <is>
          <t xml:space="preserve">Publix #1703 Oak Island NC</t>
        </is>
      </c>
      <c r="D433" s="2" t="inlineStr">
        <is>
          <t xml:space="preserve">Grocery – Publix</t>
        </is>
      </c>
      <c r="E433" s="2" t="inlineStr">
        <is>
          <t xml:space="preserve">Groceries</t>
        </is>
      </c>
      <c r="F433" s="3">
        <v>121.78</v>
      </c>
    </row>
    <row r="434">
      <c r="A434" s="2" t="inlineStr">
        <is>
          <t xml:space="preserve">September 2026</t>
        </is>
      </c>
      <c r="B434" s="4">
        <v>46288</v>
      </c>
      <c r="C434" s="2" t="inlineStr">
        <is>
          <t xml:space="preserve">Murphy 8572 Southport NC</t>
        </is>
      </c>
      <c r="D434" s="2" t="inlineStr">
        <is>
          <t xml:space="preserve">Gas &amp; Convenience Stores</t>
        </is>
      </c>
      <c r="E434" s="2" t="inlineStr">
        <is>
          <t xml:space="preserve">Transportation</t>
        </is>
      </c>
      <c r="F434" s="3">
        <v>66.51</v>
      </c>
    </row>
    <row r="435">
      <c r="A435" s="2" t="inlineStr">
        <is>
          <t xml:space="preserve">September 2026</t>
        </is>
      </c>
      <c r="B435" s="4">
        <v>46289</v>
      </c>
      <c r="C435" s="2" t="inlineStr">
        <is>
          <t xml:space="preserve">Tst* The Grumpy MO Myrtle</t>
        </is>
      </c>
      <c r="D435" s="2" t="inlineStr">
        <is>
          <t xml:space="preserve">Restaurants &amp; Takeout</t>
        </is>
      </c>
      <c r="E435" s="2" t="inlineStr">
        <is>
          <t xml:space="preserve">Food</t>
        </is>
      </c>
      <c r="F435" s="3">
        <v>40.89</v>
      </c>
    </row>
    <row r="436">
      <c r="A436" s="2" t="inlineStr">
        <is>
          <t xml:space="preserve">September 2026</t>
        </is>
      </c>
      <c r="B436" s="4">
        <v>46289</v>
      </c>
      <c r="C436" s="2" t="inlineStr">
        <is>
          <t xml:space="preserve">Moore Street Oyste</t>
        </is>
      </c>
      <c r="D436" s="2" t="inlineStr">
        <is>
          <t xml:space="preserve">Restaurants &amp; Takeout</t>
        </is>
      </c>
      <c r="E436" s="2" t="inlineStr">
        <is>
          <t xml:space="preserve">Food</t>
        </is>
      </c>
      <c r="F436" s="3">
        <v>27.32</v>
      </c>
    </row>
    <row r="437">
      <c r="A437" s="8"/>
      <c r="B437" s="8"/>
      <c r="C437" s="8"/>
      <c r="D437" s="8"/>
      <c r="E437" s="8" t="inlineStr">
        <is>
          <t xml:space="preserve">All withdrawals</t>
        </is>
      </c>
      <c r="F437" s="9">
        <f>SUM(F5:F436)</f>
        <v>84517.24</v>
      </c>
    </row>
  </sheetData>
  <autoFilter ref="A4:F436"/>
  <pageMargins left="0.5" right="0.5" top="0.6" bottom="0.6" header="0.3" footer="0.3"/>
  <pageSetup orientation="landscape" fitToHeight="0"/>
</worksheet>
</file>