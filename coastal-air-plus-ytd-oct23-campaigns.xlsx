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TD Totals" sheetId="1" state="visible" r:id="rId3"/>
    <sheet name="All Campaigns Ranked" sheetId="2" state="visible" r:id="rId4"/>
    <sheet name="By Channel" sheetId="3" state="visible" r:id="rId5"/>
  </sheets>
  <definedNames>
    <definedName function="false" hidden="true" localSheetId="1" name="_xlnm._FilterDatabase" vbProcedure="false">'All Campaigns Ranked'!$A$4:$J$60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Estimate from a job-by-job trace of Searchlight data: customers who first called the main line (Mainline, excluded) and later came back through marketing. Not a Searchlight figure.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1" authorId="0">
      <text>
        <r>
          <rPr>
            <sz val="10"/>
            <rFont val="Arial"/>
            <family val="2"/>
          </rPr>
          <t xml:space="preserve">Searchlight "[Unattributed Spend]" row: ad spend not tied to a campaign.</t>
        </r>
      </text>
    </comment>
  </commentList>
</comments>
</file>

<file path=xl/sharedStrings.xml><?xml version="1.0" encoding="utf-8"?>
<sst xmlns="http://schemas.openxmlformats.org/spreadsheetml/2006/main" count="156" uniqueCount="81">
  <si>
    <t xml:space="preserve">Coastal Air Plus — YTD Totals (Jan 1 – Oct 23, 2026)</t>
  </si>
  <si>
    <t xml:space="preserve">Ad Spend</t>
  </si>
  <si>
    <t xml:space="preserve">Calls &amp; forms</t>
  </si>
  <si>
    <t xml:space="preserve">Unique Leads</t>
  </si>
  <si>
    <t xml:space="preserve">Closed Revenue (tracked)</t>
  </si>
  <si>
    <t xml:space="preserve">Cost per Unique Lead</t>
  </si>
  <si>
    <t xml:space="preserve">ROAS (Closed)</t>
  </si>
  <si>
    <t xml:space="preserve">Brand-assisted revenue (estimate)</t>
  </si>
  <si>
    <t xml:space="preserve">Marketing-influenced total</t>
  </si>
  <si>
    <t xml:space="preserve">Notes</t>
  </si>
  <si>
    <t xml:space="preserve">All figures except brand-assisted come from Searchlight's performance-by export for Jan 1 – Oct 23, 2026, as one period.</t>
  </si>
  <si>
    <t xml:space="preserve">Unique leads are counted per campaign on the campaign sheet; the channel total matches Searchlight's report.</t>
  </si>
  <si>
    <t xml:space="preserve">Booked jobs are not included in this export.</t>
  </si>
  <si>
    <t xml:space="preserve">October revenue is still maturing as recent jobs close.</t>
  </si>
  <si>
    <t xml:space="preserve">Coastal Air Plus — All Campaigns Ranked by Closed Revenue (Jan 1 – Oct 23, 2026)</t>
  </si>
  <si>
    <t xml:space="preserve">Source: Searchlight performance-by export, Jan 1 – Oct 23 2026 (one period), 46 retention/follow-up/Mainline campaigns excluded. Blue = Searchlight data; black = formulas.</t>
  </si>
  <si>
    <t xml:space="preserve">Rank</t>
  </si>
  <si>
    <t xml:space="preserve">Campaign</t>
  </si>
  <si>
    <t xml:space="preserve">Channel</t>
  </si>
  <si>
    <t xml:space="preserve">Spend</t>
  </si>
  <si>
    <t xml:space="preserve">Closed Revenue</t>
  </si>
  <si>
    <t xml:space="preserve">Cost per Lead</t>
  </si>
  <si>
    <t xml:space="preserve">Revenue per Lead</t>
  </si>
  <si>
    <t xml:space="preserve">Charleston GBP | Search</t>
  </si>
  <si>
    <t xml:space="preserve">Organic</t>
  </si>
  <si>
    <t xml:space="preserve">Website</t>
  </si>
  <si>
    <t xml:space="preserve">Other</t>
  </si>
  <si>
    <t xml:space="preserve">(LSA) Coastal Air Plus (HVAC) / David Long</t>
  </si>
  <si>
    <t xml:space="preserve">Advertising</t>
  </si>
  <si>
    <t xml:space="preserve">PPC_Brand_Core_Myrtle-Beach</t>
  </si>
  <si>
    <t xml:space="preserve">(LSA) Coastal Air Plus (Plumbing) / David Long</t>
  </si>
  <si>
    <t xml:space="preserve">PPC_NB_Competitor-Carolina-Cool_Myrtle-Beach</t>
  </si>
  <si>
    <t xml:space="preserve">(no campaign)</t>
  </si>
  <si>
    <t xml:space="preserve">Google Organic</t>
  </si>
  <si>
    <t xml:space="preserve">Myrtle Beach GBP | Search</t>
  </si>
  <si>
    <t xml:space="preserve">Uncategorized</t>
  </si>
  <si>
    <t xml:space="preserve">Performance Max - Remarketing</t>
  </si>
  <si>
    <t xml:space="preserve">Direct Web Traffic</t>
  </si>
  <si>
    <t xml:space="preserve">Direct</t>
  </si>
  <si>
    <t xml:space="preserve">PPC HVAC</t>
  </si>
  <si>
    <t xml:space="preserve">PPC_NB_HVAC_Myrtle-Beach</t>
  </si>
  <si>
    <t xml:space="preserve">July - Sept 2026 Special | $99 New System</t>
  </si>
  <si>
    <t xml:space="preserve">PPC_NB_Plumbing_Myrtle-Beach</t>
  </si>
  <si>
    <t xml:space="preserve">Avoca Live Transfer</t>
  </si>
  <si>
    <t xml:space="preserve">PPC_NB_Competitor_Myrtle-Beach</t>
  </si>
  <si>
    <t xml:space="preserve">Honey Do List Plumbing Campaign</t>
  </si>
  <si>
    <t xml:space="preserve">Bing Organic</t>
  </si>
  <si>
    <t xml:space="preserve">Facebooks Ads</t>
  </si>
  <si>
    <t xml:space="preserve">Updated Unsold SMS 9-2024</t>
  </si>
  <si>
    <t xml:space="preserve">[Va] [Search] | Brand | mCPC</t>
  </si>
  <si>
    <t xml:space="preserve">PPC Plumbing</t>
  </si>
  <si>
    <t xml:space="preserve">Direct Mail</t>
  </si>
  <si>
    <t xml:space="preserve">Direct Marketing</t>
  </si>
  <si>
    <t xml:space="preserve">Performance Max - HVAC</t>
  </si>
  <si>
    <t xml:space="preserve">Google Ads Pending Validation</t>
  </si>
  <si>
    <t xml:space="preserve">Yahoo Organic</t>
  </si>
  <si>
    <t xml:space="preserve">Aug 2026 Special | $100 Off Plumbing</t>
  </si>
  <si>
    <t xml:space="preserve">mapstakeover</t>
  </si>
  <si>
    <t xml:space="preserve">Promotional Maintenance MailChimp</t>
  </si>
  <si>
    <t xml:space="preserve">August 2026 Special | $100 Off HVAC Repair - Copy</t>
  </si>
  <si>
    <t xml:space="preserve">DuckDuckGo Organic</t>
  </si>
  <si>
    <t xml:space="preserve">Spring HVAC Tuneup $79</t>
  </si>
  <si>
    <t xml:space="preserve">Leads Campaign June Offers</t>
  </si>
  <si>
    <t xml:space="preserve">PDM -  Sept Plumbing Offer</t>
  </si>
  <si>
    <t xml:space="preserve">Trane TCS Leads</t>
  </si>
  <si>
    <t xml:space="preserve">$99 Winter Tuneup Promo - Unbooked Customers Over 3 years</t>
  </si>
  <si>
    <t xml:space="preserve">test DM</t>
  </si>
  <si>
    <t xml:space="preserve">Artificial Intelligence</t>
  </si>
  <si>
    <t xml:space="preserve">PPC Google Brand</t>
  </si>
  <si>
    <t xml:space="preserve">$99 Winter Tuneup Promo Charleston</t>
  </si>
  <si>
    <t xml:space="preserve">December 2024 $99 Tune Up Promotional Offer</t>
  </si>
  <si>
    <t xml:space="preserve">Unopened Expired Memberships</t>
  </si>
  <si>
    <t xml:space="preserve">$99 Winter Tuneup Promo</t>
  </si>
  <si>
    <t xml:space="preserve">Performance Max - Carolina Cool</t>
  </si>
  <si>
    <t xml:space="preserve">[Va] [Search] | HVAC | mCPC &gt; tCPA $50 &gt; $40 &gt; $61</t>
  </si>
  <si>
    <t xml:space="preserve">thebluebook</t>
  </si>
  <si>
    <t xml:space="preserve">ChatGPT Referral</t>
  </si>
  <si>
    <t xml:space="preserve">Spend not tied to a campaign</t>
  </si>
  <si>
    <t xml:space="preserve">Total</t>
  </si>
  <si>
    <t xml:space="preserve">By Channel (Searchlight attribution category)</t>
  </si>
  <si>
    <t xml:space="preserve">% of Closed Revenue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</si>
</sst>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"/>
    <numFmt numFmtId="168" formatCode="0.00\x;;\-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'By Channel'!B10</f>
        <v>173871.59</v>
      </c>
    </row>
    <row r="4" customFormat="false" ht="15" hidden="false" customHeight="false" outlineLevel="0" collapsed="false">
      <c r="A4" s="2" t="s">
        <v>2</v>
      </c>
      <c r="B4" s="4" t="n">
        <f aca="false">'By Channel'!C10</f>
        <v>5007</v>
      </c>
    </row>
    <row r="5" customFormat="false" ht="15" hidden="false" customHeight="false" outlineLevel="0" collapsed="false">
      <c r="A5" s="2" t="s">
        <v>3</v>
      </c>
      <c r="B5" s="4" t="n">
        <f aca="false">'By Channel'!D10</f>
        <v>3613</v>
      </c>
    </row>
    <row r="6" customFormat="false" ht="15" hidden="false" customHeight="false" outlineLevel="0" collapsed="false">
      <c r="A6" s="2" t="s">
        <v>4</v>
      </c>
      <c r="B6" s="3" t="n">
        <f aca="false">'By Channel'!E10</f>
        <v>841452.23</v>
      </c>
    </row>
    <row r="7" customFormat="false" ht="15" hidden="false" customHeight="false" outlineLevel="0" collapsed="false">
      <c r="A7" s="2" t="s">
        <v>5</v>
      </c>
      <c r="B7" s="5" t="n">
        <f aca="false">B3/B5</f>
        <v>48.1238831995572</v>
      </c>
    </row>
    <row r="8" customFormat="false" ht="15" hidden="false" customHeight="false" outlineLevel="0" collapsed="false">
      <c r="A8" s="2" t="s">
        <v>6</v>
      </c>
      <c r="B8" s="6" t="n">
        <f aca="false">B6/B3</f>
        <v>4.83950385454001</v>
      </c>
    </row>
    <row r="9" customFormat="false" ht="15" hidden="false" customHeight="false" outlineLevel="0" collapsed="false">
      <c r="A9" s="2" t="s">
        <v>7</v>
      </c>
      <c r="B9" s="7" t="n">
        <v>225000</v>
      </c>
    </row>
    <row r="10" customFormat="false" ht="15" hidden="false" customHeight="false" outlineLevel="0" collapsed="false">
      <c r="A10" s="2" t="s">
        <v>8</v>
      </c>
      <c r="B10" s="3" t="n">
        <f aca="false">B6+B9</f>
        <v>1066452.23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8" t="s">
        <v>10</v>
      </c>
    </row>
    <row r="15" customFormat="false" ht="15" hidden="false" customHeight="false" outlineLevel="0" collapsed="false">
      <c r="A15" s="8" t="s">
        <v>11</v>
      </c>
    </row>
    <row r="16" customFormat="false" ht="15" hidden="false" customHeight="false" outlineLevel="0" collapsed="false">
      <c r="A16" s="8" t="s">
        <v>12</v>
      </c>
    </row>
    <row r="17" customFormat="false" ht="15" hidden="false" customHeight="false" outlineLevel="0" collapsed="false">
      <c r="A17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9" t="s">
        <v>15</v>
      </c>
    </row>
    <row r="4" customFormat="false" ht="23.8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</v>
      </c>
      <c r="F4" s="10" t="s">
        <v>3</v>
      </c>
      <c r="G4" s="10" t="s">
        <v>20</v>
      </c>
      <c r="H4" s="10" t="s">
        <v>6</v>
      </c>
      <c r="I4" s="10" t="s">
        <v>21</v>
      </c>
      <c r="J4" s="10" t="s">
        <v>22</v>
      </c>
    </row>
    <row r="5" customFormat="false" ht="15" hidden="false" customHeight="false" outlineLevel="0" collapsed="false">
      <c r="A5" s="8" t="n">
        <v>1</v>
      </c>
      <c r="B5" s="8" t="s">
        <v>23</v>
      </c>
      <c r="C5" s="8" t="s">
        <v>24</v>
      </c>
      <c r="D5" s="7" t="n">
        <v>0</v>
      </c>
      <c r="E5" s="11" t="n">
        <v>951</v>
      </c>
      <c r="F5" s="11" t="n">
        <v>636</v>
      </c>
      <c r="G5" s="7" t="n">
        <v>213906.51</v>
      </c>
      <c r="H5" s="6" t="str">
        <f aca="false">IF(D5&gt;0,G5/D5,"")</f>
        <v/>
      </c>
      <c r="I5" s="3" t="str">
        <f aca="false">IF(AND(D5&gt;0,F5&gt;0),D5/F5,"")</f>
        <v/>
      </c>
      <c r="J5" s="3" t="n">
        <f aca="false">IF(F5&gt;0,G5/F5,"")</f>
        <v>336.330990566038</v>
      </c>
    </row>
    <row r="6" customFormat="false" ht="15" hidden="false" customHeight="false" outlineLevel="0" collapsed="false">
      <c r="A6" s="8" t="n">
        <v>2</v>
      </c>
      <c r="B6" s="8" t="s">
        <v>25</v>
      </c>
      <c r="C6" s="8" t="s">
        <v>26</v>
      </c>
      <c r="D6" s="7" t="n">
        <v>0</v>
      </c>
      <c r="E6" s="11" t="n">
        <v>237</v>
      </c>
      <c r="F6" s="11" t="n">
        <v>158</v>
      </c>
      <c r="G6" s="7" t="n">
        <v>90249.74</v>
      </c>
      <c r="H6" s="6" t="str">
        <f aca="false">IF(D6&gt;0,G6/D6,"")</f>
        <v/>
      </c>
      <c r="I6" s="3" t="str">
        <f aca="false">IF(AND(D6&gt;0,F6&gt;0),D6/F6,"")</f>
        <v/>
      </c>
      <c r="J6" s="3" t="n">
        <f aca="false">IF(F6&gt;0,G6/F6,"")</f>
        <v>571.200886075949</v>
      </c>
    </row>
    <row r="7" customFormat="false" ht="15" hidden="false" customHeight="false" outlineLevel="0" collapsed="false">
      <c r="A7" s="8" t="n">
        <v>3</v>
      </c>
      <c r="B7" s="8" t="s">
        <v>27</v>
      </c>
      <c r="C7" s="8" t="s">
        <v>28</v>
      </c>
      <c r="D7" s="7" t="n">
        <v>29624.7</v>
      </c>
      <c r="E7" s="11" t="n">
        <v>450</v>
      </c>
      <c r="F7" s="11" t="n">
        <v>358</v>
      </c>
      <c r="G7" s="7" t="n">
        <v>75643.91</v>
      </c>
      <c r="H7" s="6" t="n">
        <f aca="false">IF(D7&gt;0,G7/D7,"")</f>
        <v>2.55340678555395</v>
      </c>
      <c r="I7" s="3" t="n">
        <f aca="false">IF(AND(D7&gt;0,F7&gt;0),D7/F7,"")</f>
        <v>82.7505586592179</v>
      </c>
      <c r="J7" s="3" t="n">
        <f aca="false">IF(F7&gt;0,G7/F7,"")</f>
        <v>211.295837988827</v>
      </c>
    </row>
    <row r="8" customFormat="false" ht="15" hidden="false" customHeight="false" outlineLevel="0" collapsed="false">
      <c r="A8" s="8" t="n">
        <v>4</v>
      </c>
      <c r="B8" s="8" t="s">
        <v>29</v>
      </c>
      <c r="C8" s="8" t="s">
        <v>28</v>
      </c>
      <c r="D8" s="7" t="n">
        <v>7574.43</v>
      </c>
      <c r="E8" s="11" t="n">
        <v>302</v>
      </c>
      <c r="F8" s="11" t="n">
        <v>161</v>
      </c>
      <c r="G8" s="7" t="n">
        <v>71450.46</v>
      </c>
      <c r="H8" s="6" t="n">
        <f aca="false">IF(D8&gt;0,G8/D8,"")</f>
        <v>9.43311377885861</v>
      </c>
      <c r="I8" s="3" t="n">
        <f aca="false">IF(AND(D8&gt;0,F8&gt;0),D8/F8,"")</f>
        <v>47.046149068323</v>
      </c>
      <c r="J8" s="3" t="n">
        <f aca="false">IF(F8&gt;0,G8/F8,"")</f>
        <v>443.791677018634</v>
      </c>
    </row>
    <row r="9" customFormat="false" ht="15" hidden="false" customHeight="false" outlineLevel="0" collapsed="false">
      <c r="A9" s="8" t="n">
        <v>5</v>
      </c>
      <c r="B9" s="8" t="s">
        <v>30</v>
      </c>
      <c r="C9" s="8" t="s">
        <v>28</v>
      </c>
      <c r="D9" s="7" t="n">
        <v>6344.48</v>
      </c>
      <c r="E9" s="11" t="n">
        <v>185</v>
      </c>
      <c r="F9" s="11" t="n">
        <v>120</v>
      </c>
      <c r="G9" s="7" t="n">
        <v>70243.49</v>
      </c>
      <c r="H9" s="6" t="n">
        <f aca="false">IF(D9&gt;0,G9/D9,"")</f>
        <v>11.0715913676141</v>
      </c>
      <c r="I9" s="3" t="n">
        <f aca="false">IF(AND(D9&gt;0,F9&gt;0),D9/F9,"")</f>
        <v>52.8706666666667</v>
      </c>
      <c r="J9" s="3" t="n">
        <f aca="false">IF(F9&gt;0,G9/F9,"")</f>
        <v>585.362416666667</v>
      </c>
    </row>
    <row r="10" customFormat="false" ht="15" hidden="false" customHeight="false" outlineLevel="0" collapsed="false">
      <c r="A10" s="8" t="n">
        <v>6</v>
      </c>
      <c r="B10" s="8" t="s">
        <v>31</v>
      </c>
      <c r="C10" s="8" t="s">
        <v>28</v>
      </c>
      <c r="D10" s="7" t="n">
        <v>26983.14</v>
      </c>
      <c r="E10" s="11" t="n">
        <v>376</v>
      </c>
      <c r="F10" s="11" t="n">
        <v>326</v>
      </c>
      <c r="G10" s="7" t="n">
        <v>56576.89</v>
      </c>
      <c r="H10" s="6" t="n">
        <f aca="false">IF(D10&gt;0,G10/D10,"")</f>
        <v>2.09674967405573</v>
      </c>
      <c r="I10" s="3" t="n">
        <f aca="false">IF(AND(D10&gt;0,F10&gt;0),D10/F10,"")</f>
        <v>82.7703680981595</v>
      </c>
      <c r="J10" s="3" t="n">
        <f aca="false">IF(F10&gt;0,G10/F10,"")</f>
        <v>173.548742331288</v>
      </c>
    </row>
    <row r="11" customFormat="false" ht="15" hidden="false" customHeight="false" outlineLevel="0" collapsed="false">
      <c r="A11" s="8" t="n">
        <v>7</v>
      </c>
      <c r="B11" s="8" t="s">
        <v>32</v>
      </c>
      <c r="C11" s="8" t="s">
        <v>24</v>
      </c>
      <c r="D11" s="7" t="n">
        <v>0</v>
      </c>
      <c r="E11" s="11" t="n">
        <v>60</v>
      </c>
      <c r="F11" s="11" t="n">
        <v>54</v>
      </c>
      <c r="G11" s="7" t="n">
        <v>54290.77</v>
      </c>
      <c r="H11" s="6" t="str">
        <f aca="false">IF(D11&gt;0,G11/D11,"")</f>
        <v/>
      </c>
      <c r="I11" s="3" t="str">
        <f aca="false">IF(AND(D11&gt;0,F11&gt;0),D11/F11,"")</f>
        <v/>
      </c>
      <c r="J11" s="3" t="n">
        <f aca="false">IF(F11&gt;0,G11/F11,"")</f>
        <v>1005.38462962963</v>
      </c>
    </row>
    <row r="12" customFormat="false" ht="15" hidden="false" customHeight="false" outlineLevel="0" collapsed="false">
      <c r="A12" s="8" t="n">
        <v>8</v>
      </c>
      <c r="B12" s="8" t="s">
        <v>33</v>
      </c>
      <c r="C12" s="8" t="s">
        <v>24</v>
      </c>
      <c r="D12" s="7" t="n">
        <v>0</v>
      </c>
      <c r="E12" s="11" t="n">
        <v>147</v>
      </c>
      <c r="F12" s="11" t="n">
        <v>100</v>
      </c>
      <c r="G12" s="7" t="n">
        <v>50470.76</v>
      </c>
      <c r="H12" s="6" t="str">
        <f aca="false">IF(D12&gt;0,G12/D12,"")</f>
        <v/>
      </c>
      <c r="I12" s="3" t="str">
        <f aca="false">IF(AND(D12&gt;0,F12&gt;0),D12/F12,"")</f>
        <v/>
      </c>
      <c r="J12" s="3" t="n">
        <f aca="false">IF(F12&gt;0,G12/F12,"")</f>
        <v>504.7076</v>
      </c>
    </row>
    <row r="13" customFormat="false" ht="15" hidden="false" customHeight="false" outlineLevel="0" collapsed="false">
      <c r="A13" s="8" t="n">
        <v>9</v>
      </c>
      <c r="B13" s="8" t="s">
        <v>34</v>
      </c>
      <c r="C13" s="8" t="s">
        <v>24</v>
      </c>
      <c r="D13" s="7" t="n">
        <v>0</v>
      </c>
      <c r="E13" s="11" t="n">
        <v>302</v>
      </c>
      <c r="F13" s="11" t="n">
        <v>245</v>
      </c>
      <c r="G13" s="7" t="n">
        <v>25849.15</v>
      </c>
      <c r="H13" s="6" t="str">
        <f aca="false">IF(D13&gt;0,G13/D13,"")</f>
        <v/>
      </c>
      <c r="I13" s="3" t="str">
        <f aca="false">IF(AND(D13&gt;0,F13&gt;0),D13/F13,"")</f>
        <v/>
      </c>
      <c r="J13" s="3" t="n">
        <f aca="false">IF(F13&gt;0,G13/F13,"")</f>
        <v>105.506734693878</v>
      </c>
    </row>
    <row r="14" customFormat="false" ht="15" hidden="false" customHeight="false" outlineLevel="0" collapsed="false">
      <c r="A14" s="8" t="n">
        <v>10</v>
      </c>
      <c r="B14" s="8" t="s">
        <v>35</v>
      </c>
      <c r="C14" s="8" t="s">
        <v>26</v>
      </c>
      <c r="D14" s="7" t="n">
        <v>0</v>
      </c>
      <c r="E14" s="11" t="n">
        <v>137</v>
      </c>
      <c r="F14" s="11" t="n">
        <v>105</v>
      </c>
      <c r="G14" s="7" t="n">
        <v>18030.7</v>
      </c>
      <c r="H14" s="6" t="str">
        <f aca="false">IF(D14&gt;0,G14/D14,"")</f>
        <v/>
      </c>
      <c r="I14" s="3" t="str">
        <f aca="false">IF(AND(D14&gt;0,F14&gt;0),D14/F14,"")</f>
        <v/>
      </c>
      <c r="J14" s="3" t="n">
        <f aca="false">IF(F14&gt;0,G14/F14,"")</f>
        <v>171.720952380952</v>
      </c>
    </row>
    <row r="15" customFormat="false" ht="15" hidden="false" customHeight="false" outlineLevel="0" collapsed="false">
      <c r="A15" s="8" t="n">
        <v>11</v>
      </c>
      <c r="B15" s="8" t="s">
        <v>36</v>
      </c>
      <c r="C15" s="8" t="s">
        <v>28</v>
      </c>
      <c r="D15" s="7" t="n">
        <v>10467.48</v>
      </c>
      <c r="E15" s="11" t="n">
        <v>207</v>
      </c>
      <c r="F15" s="11" t="n">
        <v>172</v>
      </c>
      <c r="G15" s="7" t="n">
        <v>16999.08</v>
      </c>
      <c r="H15" s="6" t="n">
        <f aca="false">IF(D15&gt;0,G15/D15,"")</f>
        <v>1.62398972818673</v>
      </c>
      <c r="I15" s="3" t="n">
        <f aca="false">IF(AND(D15&gt;0,F15&gt;0),D15/F15,"")</f>
        <v>60.8574418604651</v>
      </c>
      <c r="J15" s="3" t="n">
        <f aca="false">IF(F15&gt;0,G15/F15,"")</f>
        <v>98.8318604651163</v>
      </c>
    </row>
    <row r="16" customFormat="false" ht="15" hidden="false" customHeight="false" outlineLevel="0" collapsed="false">
      <c r="A16" s="8" t="n">
        <v>12</v>
      </c>
      <c r="B16" s="8" t="s">
        <v>37</v>
      </c>
      <c r="C16" s="8" t="s">
        <v>38</v>
      </c>
      <c r="D16" s="7" t="n">
        <v>0</v>
      </c>
      <c r="E16" s="11" t="n">
        <v>192</v>
      </c>
      <c r="F16" s="11" t="n">
        <v>111</v>
      </c>
      <c r="G16" s="7" t="n">
        <v>16989.16</v>
      </c>
      <c r="H16" s="6" t="str">
        <f aca="false">IF(D16&gt;0,G16/D16,"")</f>
        <v/>
      </c>
      <c r="I16" s="3" t="str">
        <f aca="false">IF(AND(D16&gt;0,F16&gt;0),D16/F16,"")</f>
        <v/>
      </c>
      <c r="J16" s="3" t="n">
        <f aca="false">IF(F16&gt;0,G16/F16,"")</f>
        <v>153.055495495496</v>
      </c>
    </row>
    <row r="17" customFormat="false" ht="15" hidden="false" customHeight="false" outlineLevel="0" collapsed="false">
      <c r="A17" s="8" t="n">
        <v>13</v>
      </c>
      <c r="B17" s="8" t="s">
        <v>39</v>
      </c>
      <c r="C17" s="8" t="s">
        <v>28</v>
      </c>
      <c r="D17" s="7" t="n">
        <v>0</v>
      </c>
      <c r="E17" s="11" t="n">
        <v>230</v>
      </c>
      <c r="F17" s="11" t="n">
        <v>194</v>
      </c>
      <c r="G17" s="7" t="n">
        <v>16929.76</v>
      </c>
      <c r="H17" s="6" t="str">
        <f aca="false">IF(D17&gt;0,G17/D17,"")</f>
        <v/>
      </c>
      <c r="I17" s="3" t="str">
        <f aca="false">IF(AND(D17&gt;0,F17&gt;0),D17/F17,"")</f>
        <v/>
      </c>
      <c r="J17" s="3" t="n">
        <f aca="false">IF(F17&gt;0,G17/F17,"")</f>
        <v>87.2668041237113</v>
      </c>
    </row>
    <row r="18" customFormat="false" ht="15" hidden="false" customHeight="false" outlineLevel="0" collapsed="false">
      <c r="A18" s="8" t="n">
        <v>14</v>
      </c>
      <c r="B18" s="8" t="s">
        <v>40</v>
      </c>
      <c r="C18" s="8" t="s">
        <v>28</v>
      </c>
      <c r="D18" s="7" t="n">
        <v>28006.15</v>
      </c>
      <c r="E18" s="11" t="n">
        <v>163</v>
      </c>
      <c r="F18" s="11" t="n">
        <v>154</v>
      </c>
      <c r="G18" s="7" t="n">
        <v>10476.2</v>
      </c>
      <c r="H18" s="6" t="n">
        <f aca="false">IF(D18&gt;0,G18/D18,"")</f>
        <v>0.374067838671149</v>
      </c>
      <c r="I18" s="3" t="n">
        <f aca="false">IF(AND(D18&gt;0,F18&gt;0),D18/F18,"")</f>
        <v>181.858116883117</v>
      </c>
      <c r="J18" s="3" t="n">
        <f aca="false">IF(F18&gt;0,G18/F18,"")</f>
        <v>68.0272727272727</v>
      </c>
    </row>
    <row r="19" customFormat="false" ht="15" hidden="false" customHeight="false" outlineLevel="0" collapsed="false">
      <c r="A19" s="8" t="n">
        <v>15</v>
      </c>
      <c r="B19" s="8" t="s">
        <v>41</v>
      </c>
      <c r="C19" s="8" t="s">
        <v>28</v>
      </c>
      <c r="D19" s="7" t="n">
        <v>12078.04</v>
      </c>
      <c r="E19" s="11" t="n">
        <v>39</v>
      </c>
      <c r="F19" s="11" t="n">
        <v>36</v>
      </c>
      <c r="G19" s="7" t="n">
        <v>10048</v>
      </c>
      <c r="H19" s="6" t="n">
        <f aca="false">IF(D19&gt;0,G19/D19,"")</f>
        <v>0.831923060364099</v>
      </c>
      <c r="I19" s="3" t="n">
        <f aca="false">IF(AND(D19&gt;0,F19&gt;0),D19/F19,"")</f>
        <v>335.501111111111</v>
      </c>
      <c r="J19" s="3" t="n">
        <f aca="false">IF(F19&gt;0,G19/F19,"")</f>
        <v>279.111111111111</v>
      </c>
    </row>
    <row r="20" customFormat="false" ht="15" hidden="false" customHeight="false" outlineLevel="0" collapsed="false">
      <c r="A20" s="8" t="n">
        <v>16</v>
      </c>
      <c r="B20" s="8" t="s">
        <v>42</v>
      </c>
      <c r="C20" s="8" t="s">
        <v>28</v>
      </c>
      <c r="D20" s="7" t="n">
        <v>25375.44</v>
      </c>
      <c r="E20" s="11" t="n">
        <v>89</v>
      </c>
      <c r="F20" s="11" t="n">
        <v>74</v>
      </c>
      <c r="G20" s="7" t="n">
        <v>8126.51</v>
      </c>
      <c r="H20" s="6" t="n">
        <f aca="false">IF(D20&gt;0,G20/D20,"")</f>
        <v>0.320250998603374</v>
      </c>
      <c r="I20" s="3" t="n">
        <f aca="false">IF(AND(D20&gt;0,F20&gt;0),D20/F20,"")</f>
        <v>342.911351351351</v>
      </c>
      <c r="J20" s="3" t="n">
        <f aca="false">IF(F20&gt;0,G20/F20,"")</f>
        <v>109.817702702703</v>
      </c>
    </row>
    <row r="21" customFormat="false" ht="15" hidden="false" customHeight="false" outlineLevel="0" collapsed="false">
      <c r="A21" s="8" t="n">
        <v>17</v>
      </c>
      <c r="B21" s="8" t="s">
        <v>43</v>
      </c>
      <c r="C21" s="8" t="s">
        <v>26</v>
      </c>
      <c r="D21" s="7" t="n">
        <v>0</v>
      </c>
      <c r="E21" s="11" t="n">
        <v>172</v>
      </c>
      <c r="F21" s="11" t="n">
        <v>14</v>
      </c>
      <c r="G21" s="7" t="n">
        <v>7469.08</v>
      </c>
      <c r="H21" s="6" t="str">
        <f aca="false">IF(D21&gt;0,G21/D21,"")</f>
        <v/>
      </c>
      <c r="I21" s="3" t="str">
        <f aca="false">IF(AND(D21&gt;0,F21&gt;0),D21/F21,"")</f>
        <v/>
      </c>
      <c r="J21" s="3" t="n">
        <f aca="false">IF(F21&gt;0,G21/F21,"")</f>
        <v>533.505714285714</v>
      </c>
    </row>
    <row r="22" customFormat="false" ht="15" hidden="false" customHeight="false" outlineLevel="0" collapsed="false">
      <c r="A22" s="8" t="n">
        <v>18</v>
      </c>
      <c r="B22" s="8" t="s">
        <v>44</v>
      </c>
      <c r="C22" s="8" t="s">
        <v>28</v>
      </c>
      <c r="D22" s="7" t="n">
        <v>8099.74</v>
      </c>
      <c r="E22" s="11" t="n">
        <v>67</v>
      </c>
      <c r="F22" s="11" t="n">
        <v>62</v>
      </c>
      <c r="G22" s="7" t="n">
        <v>4832.62</v>
      </c>
      <c r="H22" s="6" t="n">
        <f aca="false">IF(D22&gt;0,G22/D22,"")</f>
        <v>0.596638904458662</v>
      </c>
      <c r="I22" s="3" t="n">
        <f aca="false">IF(AND(D22&gt;0,F22&gt;0),D22/F22,"")</f>
        <v>130.640967741935</v>
      </c>
      <c r="J22" s="3" t="n">
        <f aca="false">IF(F22&gt;0,G22/F22,"")</f>
        <v>77.9454838709677</v>
      </c>
    </row>
    <row r="23" customFormat="false" ht="15" hidden="false" customHeight="false" outlineLevel="0" collapsed="false">
      <c r="A23" s="8" t="n">
        <v>19</v>
      </c>
      <c r="B23" s="8" t="s">
        <v>45</v>
      </c>
      <c r="C23" s="8" t="s">
        <v>26</v>
      </c>
      <c r="D23" s="7" t="n">
        <v>0</v>
      </c>
      <c r="E23" s="11" t="n">
        <v>55</v>
      </c>
      <c r="F23" s="11" t="n">
        <v>12</v>
      </c>
      <c r="G23" s="7" t="n">
        <v>3671.52</v>
      </c>
      <c r="H23" s="6" t="str">
        <f aca="false">IF(D23&gt;0,G23/D23,"")</f>
        <v/>
      </c>
      <c r="I23" s="3" t="str">
        <f aca="false">IF(AND(D23&gt;0,F23&gt;0),D23/F23,"")</f>
        <v/>
      </c>
      <c r="J23" s="3" t="n">
        <f aca="false">IF(F23&gt;0,G23/F23,"")</f>
        <v>305.96</v>
      </c>
    </row>
    <row r="24" customFormat="false" ht="15" hidden="false" customHeight="false" outlineLevel="0" collapsed="false">
      <c r="A24" s="8" t="n">
        <v>20</v>
      </c>
      <c r="B24" s="8" t="s">
        <v>46</v>
      </c>
      <c r="C24" s="8" t="s">
        <v>24</v>
      </c>
      <c r="D24" s="7" t="n">
        <v>0</v>
      </c>
      <c r="E24" s="11" t="n">
        <v>33</v>
      </c>
      <c r="F24" s="11" t="n">
        <v>24</v>
      </c>
      <c r="G24" s="7" t="n">
        <v>2781.41</v>
      </c>
      <c r="H24" s="6" t="str">
        <f aca="false">IF(D24&gt;0,G24/D24,"")</f>
        <v/>
      </c>
      <c r="I24" s="3" t="str">
        <f aca="false">IF(AND(D24&gt;0,F24&gt;0),D24/F24,"")</f>
        <v/>
      </c>
      <c r="J24" s="3" t="n">
        <f aca="false">IF(F24&gt;0,G24/F24,"")</f>
        <v>115.892083333333</v>
      </c>
    </row>
    <row r="25" customFormat="false" ht="15" hidden="false" customHeight="false" outlineLevel="0" collapsed="false">
      <c r="A25" s="8" t="n">
        <v>21</v>
      </c>
      <c r="B25" s="8" t="s">
        <v>37</v>
      </c>
      <c r="C25" s="8" t="s">
        <v>24</v>
      </c>
      <c r="D25" s="7" t="n">
        <v>0</v>
      </c>
      <c r="E25" s="11" t="n">
        <v>31</v>
      </c>
      <c r="F25" s="11" t="n">
        <v>25</v>
      </c>
      <c r="G25" s="7" t="n">
        <v>2596.61</v>
      </c>
      <c r="H25" s="6" t="str">
        <f aca="false">IF(D25&gt;0,G25/D25,"")</f>
        <v/>
      </c>
      <c r="I25" s="3" t="str">
        <f aca="false">IF(AND(D25&gt;0,F25&gt;0),D25/F25,"")</f>
        <v/>
      </c>
      <c r="J25" s="3" t="n">
        <f aca="false">IF(F25&gt;0,G25/F25,"")</f>
        <v>103.8644</v>
      </c>
    </row>
    <row r="26" customFormat="false" ht="15" hidden="false" customHeight="false" outlineLevel="0" collapsed="false">
      <c r="A26" s="8" t="n">
        <v>22</v>
      </c>
      <c r="B26" s="8" t="s">
        <v>47</v>
      </c>
      <c r="C26" s="8" t="s">
        <v>28</v>
      </c>
      <c r="D26" s="7" t="n">
        <v>0</v>
      </c>
      <c r="E26" s="11" t="n">
        <v>41</v>
      </c>
      <c r="F26" s="11" t="n">
        <v>27</v>
      </c>
      <c r="G26" s="7" t="n">
        <v>2237.4</v>
      </c>
      <c r="H26" s="6" t="str">
        <f aca="false">IF(D26&gt;0,G26/D26,"")</f>
        <v/>
      </c>
      <c r="I26" s="3" t="str">
        <f aca="false">IF(AND(D26&gt;0,F26&gt;0),D26/F26,"")</f>
        <v/>
      </c>
      <c r="J26" s="3" t="n">
        <f aca="false">IF(F26&gt;0,G26/F26,"")</f>
        <v>82.8666666666667</v>
      </c>
    </row>
    <row r="27" customFormat="false" ht="15" hidden="false" customHeight="false" outlineLevel="0" collapsed="false">
      <c r="A27" s="8" t="n">
        <v>23</v>
      </c>
      <c r="B27" s="8" t="s">
        <v>48</v>
      </c>
      <c r="C27" s="8" t="s">
        <v>26</v>
      </c>
      <c r="D27" s="7" t="n">
        <v>0</v>
      </c>
      <c r="E27" s="11" t="n">
        <v>12</v>
      </c>
      <c r="F27" s="11" t="n">
        <v>11</v>
      </c>
      <c r="G27" s="7" t="n">
        <v>1871.16</v>
      </c>
      <c r="H27" s="6" t="str">
        <f aca="false">IF(D27&gt;0,G27/D27,"")</f>
        <v/>
      </c>
      <c r="I27" s="3" t="str">
        <f aca="false">IF(AND(D27&gt;0,F27&gt;0),D27/F27,"")</f>
        <v/>
      </c>
      <c r="J27" s="3" t="n">
        <f aca="false">IF(F27&gt;0,G27/F27,"")</f>
        <v>170.105454545455</v>
      </c>
    </row>
    <row r="28" customFormat="false" ht="15" hidden="false" customHeight="false" outlineLevel="0" collapsed="false">
      <c r="A28" s="8" t="n">
        <v>24</v>
      </c>
      <c r="B28" s="8" t="s">
        <v>49</v>
      </c>
      <c r="C28" s="8" t="s">
        <v>28</v>
      </c>
      <c r="D28" s="7" t="n">
        <v>0</v>
      </c>
      <c r="E28" s="11" t="n">
        <v>0</v>
      </c>
      <c r="F28" s="11" t="n">
        <v>1</v>
      </c>
      <c r="G28" s="7" t="n">
        <v>1814</v>
      </c>
      <c r="H28" s="6" t="str">
        <f aca="false">IF(D28&gt;0,G28/D28,"")</f>
        <v/>
      </c>
      <c r="I28" s="3" t="str">
        <f aca="false">IF(AND(D28&gt;0,F28&gt;0),D28/F28,"")</f>
        <v/>
      </c>
      <c r="J28" s="3" t="n">
        <f aca="false">IF(F28&gt;0,G28/F28,"")</f>
        <v>1814</v>
      </c>
    </row>
    <row r="29" customFormat="false" ht="15" hidden="false" customHeight="false" outlineLevel="0" collapsed="false">
      <c r="A29" s="8" t="n">
        <v>25</v>
      </c>
      <c r="B29" s="8" t="s">
        <v>50</v>
      </c>
      <c r="C29" s="8" t="s">
        <v>28</v>
      </c>
      <c r="D29" s="7" t="n">
        <v>0</v>
      </c>
      <c r="E29" s="11" t="n">
        <v>23</v>
      </c>
      <c r="F29" s="11" t="n">
        <v>21</v>
      </c>
      <c r="G29" s="7" t="n">
        <v>1447.57</v>
      </c>
      <c r="H29" s="6" t="str">
        <f aca="false">IF(D29&gt;0,G29/D29,"")</f>
        <v/>
      </c>
      <c r="I29" s="3" t="str">
        <f aca="false">IF(AND(D29&gt;0,F29&gt;0),D29/F29,"")</f>
        <v/>
      </c>
      <c r="J29" s="3" t="n">
        <f aca="false">IF(F29&gt;0,G29/F29,"")</f>
        <v>68.9319047619048</v>
      </c>
    </row>
    <row r="30" customFormat="false" ht="15" hidden="false" customHeight="false" outlineLevel="0" collapsed="false">
      <c r="A30" s="8" t="n">
        <v>26</v>
      </c>
      <c r="B30" s="8" t="s">
        <v>32</v>
      </c>
      <c r="C30" s="8" t="s">
        <v>26</v>
      </c>
      <c r="D30" s="7" t="n">
        <v>0</v>
      </c>
      <c r="E30" s="11" t="n">
        <v>67</v>
      </c>
      <c r="F30" s="11" t="n">
        <v>47</v>
      </c>
      <c r="G30" s="7" t="n">
        <v>1306.6</v>
      </c>
      <c r="H30" s="6" t="str">
        <f aca="false">IF(D30&gt;0,G30/D30,"")</f>
        <v/>
      </c>
      <c r="I30" s="3" t="str">
        <f aca="false">IF(AND(D30&gt;0,F30&gt;0),D30/F30,"")</f>
        <v/>
      </c>
      <c r="J30" s="3" t="n">
        <f aca="false">IF(F30&gt;0,G30/F30,"")</f>
        <v>27.8</v>
      </c>
    </row>
    <row r="31" customFormat="false" ht="15" hidden="false" customHeight="false" outlineLevel="0" collapsed="false">
      <c r="A31" s="8" t="n">
        <v>27</v>
      </c>
      <c r="B31" s="8" t="s">
        <v>51</v>
      </c>
      <c r="C31" s="8" t="s">
        <v>52</v>
      </c>
      <c r="D31" s="7" t="n">
        <v>0</v>
      </c>
      <c r="E31" s="11" t="n">
        <v>10</v>
      </c>
      <c r="F31" s="11" t="n">
        <v>9</v>
      </c>
      <c r="G31" s="7" t="n">
        <v>1177.06</v>
      </c>
      <c r="H31" s="6" t="str">
        <f aca="false">IF(D31&gt;0,G31/D31,"")</f>
        <v/>
      </c>
      <c r="I31" s="3" t="str">
        <f aca="false">IF(AND(D31&gt;0,F31&gt;0),D31/F31,"")</f>
        <v/>
      </c>
      <c r="J31" s="3" t="n">
        <f aca="false">IF(F31&gt;0,G31/F31,"")</f>
        <v>130.784444444444</v>
      </c>
    </row>
    <row r="32" customFormat="false" ht="15" hidden="false" customHeight="false" outlineLevel="0" collapsed="false">
      <c r="A32" s="8" t="n">
        <v>28</v>
      </c>
      <c r="B32" s="8" t="s">
        <v>25</v>
      </c>
      <c r="C32" s="8" t="s">
        <v>24</v>
      </c>
      <c r="D32" s="7" t="n">
        <v>0</v>
      </c>
      <c r="E32" s="11" t="n">
        <v>5</v>
      </c>
      <c r="F32" s="11" t="n">
        <v>2</v>
      </c>
      <c r="G32" s="7" t="n">
        <v>1173.92</v>
      </c>
      <c r="H32" s="6" t="str">
        <f aca="false">IF(D32&gt;0,G32/D32,"")</f>
        <v/>
      </c>
      <c r="I32" s="3" t="str">
        <f aca="false">IF(AND(D32&gt;0,F32&gt;0),D32/F32,"")</f>
        <v/>
      </c>
      <c r="J32" s="3" t="n">
        <f aca="false">IF(F32&gt;0,G32/F32,"")</f>
        <v>586.96</v>
      </c>
    </row>
    <row r="33" customFormat="false" ht="15" hidden="false" customHeight="false" outlineLevel="0" collapsed="false">
      <c r="A33" s="8" t="n">
        <v>29</v>
      </c>
      <c r="B33" s="8" t="s">
        <v>53</v>
      </c>
      <c r="C33" s="8" t="s">
        <v>28</v>
      </c>
      <c r="D33" s="7" t="n">
        <v>3662.97</v>
      </c>
      <c r="E33" s="11" t="n">
        <v>59</v>
      </c>
      <c r="F33" s="11" t="n">
        <v>55</v>
      </c>
      <c r="G33" s="7" t="n">
        <v>1145.68</v>
      </c>
      <c r="H33" s="6" t="n">
        <f aca="false">IF(D33&gt;0,G33/D33,"")</f>
        <v>0.312773514388597</v>
      </c>
      <c r="I33" s="3" t="n">
        <f aca="false">IF(AND(D33&gt;0,F33&gt;0),D33/F33,"")</f>
        <v>66.5994545454546</v>
      </c>
      <c r="J33" s="3" t="n">
        <f aca="false">IF(F33&gt;0,G33/F33,"")</f>
        <v>20.8305454545455</v>
      </c>
    </row>
    <row r="34" customFormat="false" ht="15" hidden="false" customHeight="false" outlineLevel="0" collapsed="false">
      <c r="A34" s="8" t="n">
        <v>30</v>
      </c>
      <c r="B34" s="8" t="s">
        <v>51</v>
      </c>
      <c r="C34" s="8" t="s">
        <v>24</v>
      </c>
      <c r="D34" s="7" t="n">
        <v>0</v>
      </c>
      <c r="E34" s="11" t="n">
        <v>2</v>
      </c>
      <c r="F34" s="11" t="n">
        <v>1</v>
      </c>
      <c r="G34" s="7" t="n">
        <v>450</v>
      </c>
      <c r="H34" s="6" t="str">
        <f aca="false">IF(D34&gt;0,G34/D34,"")</f>
        <v/>
      </c>
      <c r="I34" s="3" t="str">
        <f aca="false">IF(AND(D34&gt;0,F34&gt;0),D34/F34,"")</f>
        <v/>
      </c>
      <c r="J34" s="3" t="n">
        <f aca="false">IF(F34&gt;0,G34/F34,"")</f>
        <v>450</v>
      </c>
    </row>
    <row r="35" customFormat="false" ht="15" hidden="false" customHeight="false" outlineLevel="0" collapsed="false">
      <c r="A35" s="8" t="n">
        <v>31</v>
      </c>
      <c r="B35" s="8" t="s">
        <v>54</v>
      </c>
      <c r="C35" s="8" t="s">
        <v>28</v>
      </c>
      <c r="D35" s="7" t="n">
        <v>0</v>
      </c>
      <c r="E35" s="11" t="n">
        <v>18</v>
      </c>
      <c r="F35" s="11" t="n">
        <v>14</v>
      </c>
      <c r="G35" s="7" t="n">
        <v>403.91</v>
      </c>
      <c r="H35" s="6" t="str">
        <f aca="false">IF(D35&gt;0,G35/D35,"")</f>
        <v/>
      </c>
      <c r="I35" s="3" t="str">
        <f aca="false">IF(AND(D35&gt;0,F35&gt;0),D35/F35,"")</f>
        <v/>
      </c>
      <c r="J35" s="3" t="n">
        <f aca="false">IF(F35&gt;0,G35/F35,"")</f>
        <v>28.8507142857143</v>
      </c>
    </row>
    <row r="36" customFormat="false" ht="15" hidden="false" customHeight="false" outlineLevel="0" collapsed="false">
      <c r="A36" s="8" t="n">
        <v>32</v>
      </c>
      <c r="B36" s="8" t="s">
        <v>55</v>
      </c>
      <c r="C36" s="8" t="s">
        <v>24</v>
      </c>
      <c r="D36" s="7" t="n">
        <v>0</v>
      </c>
      <c r="E36" s="11" t="n">
        <v>12</v>
      </c>
      <c r="F36" s="11" t="n">
        <v>10</v>
      </c>
      <c r="G36" s="7" t="n">
        <v>374.6</v>
      </c>
      <c r="H36" s="6" t="str">
        <f aca="false">IF(D36&gt;0,G36/D36,"")</f>
        <v/>
      </c>
      <c r="I36" s="3" t="str">
        <f aca="false">IF(AND(D36&gt;0,F36&gt;0),D36/F36,"")</f>
        <v/>
      </c>
      <c r="J36" s="3" t="n">
        <f aca="false">IF(F36&gt;0,G36/F36,"")</f>
        <v>37.46</v>
      </c>
    </row>
    <row r="37" customFormat="false" ht="15" hidden="false" customHeight="false" outlineLevel="0" collapsed="false">
      <c r="A37" s="8" t="n">
        <v>33</v>
      </c>
      <c r="B37" s="8" t="s">
        <v>56</v>
      </c>
      <c r="C37" s="8" t="s">
        <v>28</v>
      </c>
      <c r="D37" s="7" t="n">
        <v>2313.2</v>
      </c>
      <c r="E37" s="11" t="n">
        <v>11</v>
      </c>
      <c r="F37" s="11" t="n">
        <v>7</v>
      </c>
      <c r="G37" s="7" t="n">
        <v>319</v>
      </c>
      <c r="H37" s="6" t="n">
        <f aca="false">IF(D37&gt;0,G37/D37,"")</f>
        <v>0.137904201971295</v>
      </c>
      <c r="I37" s="3" t="n">
        <f aca="false">IF(AND(D37&gt;0,F37&gt;0),D37/F37,"")</f>
        <v>330.457142857143</v>
      </c>
      <c r="J37" s="3" t="n">
        <f aca="false">IF(F37&gt;0,G37/F37,"")</f>
        <v>45.5714285714286</v>
      </c>
    </row>
    <row r="38" customFormat="false" ht="15" hidden="false" customHeight="false" outlineLevel="0" collapsed="false">
      <c r="A38" s="8" t="n">
        <v>34</v>
      </c>
      <c r="B38" s="8" t="s">
        <v>57</v>
      </c>
      <c r="C38" s="8" t="s">
        <v>24</v>
      </c>
      <c r="D38" s="7" t="n">
        <v>0</v>
      </c>
      <c r="E38" s="11" t="n">
        <v>32</v>
      </c>
      <c r="F38" s="11" t="n">
        <v>18</v>
      </c>
      <c r="G38" s="7" t="n">
        <v>99</v>
      </c>
      <c r="H38" s="6" t="str">
        <f aca="false">IF(D38&gt;0,G38/D38,"")</f>
        <v/>
      </c>
      <c r="I38" s="3" t="str">
        <f aca="false">IF(AND(D38&gt;0,F38&gt;0),D38/F38,"")</f>
        <v/>
      </c>
      <c r="J38" s="3" t="n">
        <f aca="false">IF(F38&gt;0,G38/F38,"")</f>
        <v>5.5</v>
      </c>
    </row>
    <row r="39" customFormat="false" ht="15" hidden="false" customHeight="false" outlineLevel="0" collapsed="false">
      <c r="A39" s="8" t="n">
        <v>35</v>
      </c>
      <c r="B39" s="8" t="s">
        <v>58</v>
      </c>
      <c r="C39" s="8" t="s">
        <v>26</v>
      </c>
      <c r="D39" s="7" t="n">
        <v>0</v>
      </c>
      <c r="E39" s="11" t="n">
        <v>173</v>
      </c>
      <c r="F39" s="11" t="n">
        <v>151</v>
      </c>
      <c r="G39" s="7" t="n">
        <v>0</v>
      </c>
      <c r="H39" s="6" t="str">
        <f aca="false">IF(D39&gt;0,G39/D39,"")</f>
        <v/>
      </c>
      <c r="I39" s="3" t="str">
        <f aca="false">IF(AND(D39&gt;0,F39&gt;0),D39/F39,"")</f>
        <v/>
      </c>
      <c r="J39" s="3" t="n">
        <f aca="false">IF(F39&gt;0,G39/F39,"")</f>
        <v>0</v>
      </c>
    </row>
    <row r="40" customFormat="false" ht="15" hidden="false" customHeight="false" outlineLevel="0" collapsed="false">
      <c r="A40" s="8" t="n">
        <v>36</v>
      </c>
      <c r="B40" s="8" t="s">
        <v>59</v>
      </c>
      <c r="C40" s="8" t="s">
        <v>28</v>
      </c>
      <c r="D40" s="7" t="n">
        <v>5022.32</v>
      </c>
      <c r="E40" s="11" t="n">
        <v>24</v>
      </c>
      <c r="F40" s="11" t="n">
        <v>23</v>
      </c>
      <c r="G40" s="7" t="n">
        <v>0</v>
      </c>
      <c r="H40" s="6" t="n">
        <f aca="false">IF(D40&gt;0,G40/D40,"")</f>
        <v>0</v>
      </c>
      <c r="I40" s="3" t="n">
        <f aca="false">IF(AND(D40&gt;0,F40&gt;0),D40/F40,"")</f>
        <v>218.361739130435</v>
      </c>
      <c r="J40" s="3" t="n">
        <f aca="false">IF(F40&gt;0,G40/F40,"")</f>
        <v>0</v>
      </c>
    </row>
    <row r="41" customFormat="false" ht="15" hidden="false" customHeight="false" outlineLevel="0" collapsed="false">
      <c r="A41" s="8" t="n">
        <v>37</v>
      </c>
      <c r="B41" s="8" t="s">
        <v>35</v>
      </c>
      <c r="C41" s="8" t="s">
        <v>24</v>
      </c>
      <c r="D41" s="7" t="n">
        <v>0</v>
      </c>
      <c r="E41" s="11" t="n">
        <v>14</v>
      </c>
      <c r="F41" s="11" t="n">
        <v>10</v>
      </c>
      <c r="G41" s="7" t="n">
        <v>0</v>
      </c>
      <c r="H41" s="6" t="str">
        <f aca="false">IF(D41&gt;0,G41/D41,"")</f>
        <v/>
      </c>
      <c r="I41" s="3" t="str">
        <f aca="false">IF(AND(D41&gt;0,F41&gt;0),D41/F41,"")</f>
        <v/>
      </c>
      <c r="J41" s="3" t="n">
        <f aca="false">IF(F41&gt;0,G41/F41,"")</f>
        <v>0</v>
      </c>
    </row>
    <row r="42" customFormat="false" ht="15" hidden="false" customHeight="false" outlineLevel="0" collapsed="false">
      <c r="A42" s="8" t="n">
        <v>38</v>
      </c>
      <c r="B42" s="8" t="s">
        <v>60</v>
      </c>
      <c r="C42" s="8" t="s">
        <v>24</v>
      </c>
      <c r="D42" s="7" t="n">
        <v>0</v>
      </c>
      <c r="E42" s="11" t="n">
        <v>12</v>
      </c>
      <c r="F42" s="11" t="n">
        <v>9</v>
      </c>
      <c r="G42" s="7" t="n">
        <v>0</v>
      </c>
      <c r="H42" s="6" t="str">
        <f aca="false">IF(D42&gt;0,G42/D42,"")</f>
        <v/>
      </c>
      <c r="I42" s="3" t="str">
        <f aca="false">IF(AND(D42&gt;0,F42&gt;0),D42/F42,"")</f>
        <v/>
      </c>
      <c r="J42" s="3" t="n">
        <f aca="false">IF(F42&gt;0,G42/F42,"")</f>
        <v>0</v>
      </c>
    </row>
    <row r="43" customFormat="false" ht="15" hidden="false" customHeight="false" outlineLevel="0" collapsed="false">
      <c r="A43" s="8" t="n">
        <v>39</v>
      </c>
      <c r="B43" s="8" t="s">
        <v>61</v>
      </c>
      <c r="C43" s="8" t="s">
        <v>26</v>
      </c>
      <c r="D43" s="7" t="n">
        <v>0</v>
      </c>
      <c r="E43" s="11" t="n">
        <v>10</v>
      </c>
      <c r="F43" s="11" t="n">
        <v>8</v>
      </c>
      <c r="G43" s="7" t="n">
        <v>0</v>
      </c>
      <c r="H43" s="6" t="str">
        <f aca="false">IF(D43&gt;0,G43/D43,"")</f>
        <v/>
      </c>
      <c r="I43" s="3" t="str">
        <f aca="false">IF(AND(D43&gt;0,F43&gt;0),D43/F43,"")</f>
        <v/>
      </c>
      <c r="J43" s="3" t="n">
        <f aca="false">IF(F43&gt;0,G43/F43,"")</f>
        <v>0</v>
      </c>
    </row>
    <row r="44" customFormat="false" ht="15" hidden="false" customHeight="false" outlineLevel="0" collapsed="false">
      <c r="A44" s="8" t="n">
        <v>40</v>
      </c>
      <c r="B44" s="8" t="s">
        <v>62</v>
      </c>
      <c r="C44" s="8" t="s">
        <v>28</v>
      </c>
      <c r="D44" s="7" t="n">
        <v>2081.75</v>
      </c>
      <c r="E44" s="11" t="n">
        <v>5</v>
      </c>
      <c r="F44" s="11" t="n">
        <v>5</v>
      </c>
      <c r="G44" s="7" t="n">
        <v>0</v>
      </c>
      <c r="H44" s="6" t="n">
        <f aca="false">IF(D44&gt;0,G44/D44,"")</f>
        <v>0</v>
      </c>
      <c r="I44" s="3" t="n">
        <f aca="false">IF(AND(D44&gt;0,F44&gt;0),D44/F44,"")</f>
        <v>416.35</v>
      </c>
      <c r="J44" s="3" t="n">
        <f aca="false">IF(F44&gt;0,G44/F44,"")</f>
        <v>0</v>
      </c>
    </row>
    <row r="45" customFormat="false" ht="15" hidden="false" customHeight="false" outlineLevel="0" collapsed="false">
      <c r="A45" s="8" t="n">
        <v>41</v>
      </c>
      <c r="B45" s="8" t="s">
        <v>63</v>
      </c>
      <c r="C45" s="8" t="s">
        <v>28</v>
      </c>
      <c r="D45" s="7" t="n">
        <v>828.25</v>
      </c>
      <c r="E45" s="11" t="n">
        <v>5</v>
      </c>
      <c r="F45" s="11" t="n">
        <v>5</v>
      </c>
      <c r="G45" s="7" t="n">
        <v>0</v>
      </c>
      <c r="H45" s="6" t="n">
        <f aca="false">IF(D45&gt;0,G45/D45,"")</f>
        <v>0</v>
      </c>
      <c r="I45" s="3" t="n">
        <f aca="false">IF(AND(D45&gt;0,F45&gt;0),D45/F45,"")</f>
        <v>165.65</v>
      </c>
      <c r="J45" s="3" t="n">
        <f aca="false">IF(F45&gt;0,G45/F45,"")</f>
        <v>0</v>
      </c>
    </row>
    <row r="46" customFormat="false" ht="15" hidden="false" customHeight="false" outlineLevel="0" collapsed="false">
      <c r="A46" s="8" t="n">
        <v>42</v>
      </c>
      <c r="B46" s="8" t="s">
        <v>64</v>
      </c>
      <c r="C46" s="8" t="s">
        <v>26</v>
      </c>
      <c r="D46" s="7" t="n">
        <v>0</v>
      </c>
      <c r="E46" s="11" t="n">
        <v>5</v>
      </c>
      <c r="F46" s="11" t="n">
        <v>5</v>
      </c>
      <c r="G46" s="7" t="n">
        <v>0</v>
      </c>
      <c r="H46" s="6" t="str">
        <f aca="false">IF(D46&gt;0,G46/D46,"")</f>
        <v/>
      </c>
      <c r="I46" s="3" t="str">
        <f aca="false">IF(AND(D46&gt;0,F46&gt;0),D46/F46,"")</f>
        <v/>
      </c>
      <c r="J46" s="3" t="n">
        <f aca="false">IF(F46&gt;0,G46/F46,"")</f>
        <v>0</v>
      </c>
    </row>
    <row r="47" customFormat="false" ht="15" hidden="false" customHeight="false" outlineLevel="0" collapsed="false">
      <c r="A47" s="8" t="n">
        <v>43</v>
      </c>
      <c r="B47" s="8" t="s">
        <v>65</v>
      </c>
      <c r="C47" s="8" t="s">
        <v>26</v>
      </c>
      <c r="D47" s="7" t="n">
        <v>0</v>
      </c>
      <c r="E47" s="11" t="n">
        <v>5</v>
      </c>
      <c r="F47" s="11" t="n">
        <v>5</v>
      </c>
      <c r="G47" s="7" t="n">
        <v>0</v>
      </c>
      <c r="H47" s="6" t="str">
        <f aca="false">IF(D47&gt;0,G47/D47,"")</f>
        <v/>
      </c>
      <c r="I47" s="3" t="str">
        <f aca="false">IF(AND(D47&gt;0,F47&gt;0),D47/F47,"")</f>
        <v/>
      </c>
      <c r="J47" s="3" t="n">
        <f aca="false">IF(F47&gt;0,G47/F47,"")</f>
        <v>0</v>
      </c>
    </row>
    <row r="48" customFormat="false" ht="15" hidden="false" customHeight="false" outlineLevel="0" collapsed="false">
      <c r="A48" s="8" t="n">
        <v>44</v>
      </c>
      <c r="B48" s="8" t="s">
        <v>66</v>
      </c>
      <c r="C48" s="8" t="s">
        <v>26</v>
      </c>
      <c r="D48" s="7" t="n">
        <v>0</v>
      </c>
      <c r="E48" s="11" t="n">
        <v>8</v>
      </c>
      <c r="F48" s="11" t="n">
        <v>4</v>
      </c>
      <c r="G48" s="7" t="n">
        <v>0</v>
      </c>
      <c r="H48" s="6" t="str">
        <f aca="false">IF(D48&gt;0,G48/D48,"")</f>
        <v/>
      </c>
      <c r="I48" s="3" t="str">
        <f aca="false">IF(AND(D48&gt;0,F48&gt;0),D48/F48,"")</f>
        <v/>
      </c>
      <c r="J48" s="3" t="n">
        <f aca="false">IF(F48&gt;0,G48/F48,"")</f>
        <v>0</v>
      </c>
    </row>
    <row r="49" customFormat="false" ht="15" hidden="false" customHeight="false" outlineLevel="0" collapsed="false">
      <c r="A49" s="8" t="n">
        <v>45</v>
      </c>
      <c r="B49" s="8" t="s">
        <v>32</v>
      </c>
      <c r="C49" s="8" t="s">
        <v>67</v>
      </c>
      <c r="D49" s="7" t="n">
        <v>0</v>
      </c>
      <c r="E49" s="11" t="n">
        <v>4</v>
      </c>
      <c r="F49" s="11" t="n">
        <v>4</v>
      </c>
      <c r="G49" s="7" t="n">
        <v>0</v>
      </c>
      <c r="H49" s="6" t="str">
        <f aca="false">IF(D49&gt;0,G49/D49,"")</f>
        <v/>
      </c>
      <c r="I49" s="3" t="str">
        <f aca="false">IF(AND(D49&gt;0,F49&gt;0),D49/F49,"")</f>
        <v/>
      </c>
      <c r="J49" s="3" t="n">
        <f aca="false">IF(F49&gt;0,G49/F49,"")</f>
        <v>0</v>
      </c>
    </row>
    <row r="50" customFormat="false" ht="15" hidden="false" customHeight="false" outlineLevel="0" collapsed="false">
      <c r="A50" s="8" t="n">
        <v>46</v>
      </c>
      <c r="B50" s="8" t="s">
        <v>68</v>
      </c>
      <c r="C50" s="8" t="s">
        <v>28</v>
      </c>
      <c r="D50" s="7" t="n">
        <v>0</v>
      </c>
      <c r="E50" s="11" t="n">
        <v>4</v>
      </c>
      <c r="F50" s="11" t="n">
        <v>3</v>
      </c>
      <c r="G50" s="7" t="n">
        <v>0</v>
      </c>
      <c r="H50" s="6" t="str">
        <f aca="false">IF(D50&gt;0,G50/D50,"")</f>
        <v/>
      </c>
      <c r="I50" s="3" t="str">
        <f aca="false">IF(AND(D50&gt;0,F50&gt;0),D50/F50,"")</f>
        <v/>
      </c>
      <c r="J50" s="3" t="n">
        <f aca="false">IF(F50&gt;0,G50/F50,"")</f>
        <v>0</v>
      </c>
    </row>
    <row r="51" customFormat="false" ht="15" hidden="false" customHeight="false" outlineLevel="0" collapsed="false">
      <c r="A51" s="8" t="n">
        <v>47</v>
      </c>
      <c r="B51" s="8" t="s">
        <v>69</v>
      </c>
      <c r="C51" s="8" t="s">
        <v>26</v>
      </c>
      <c r="D51" s="7" t="n">
        <v>0</v>
      </c>
      <c r="E51" s="11" t="n">
        <v>3</v>
      </c>
      <c r="F51" s="11" t="n">
        <v>3</v>
      </c>
      <c r="G51" s="7" t="n">
        <v>0</v>
      </c>
      <c r="H51" s="6" t="str">
        <f aca="false">IF(D51&gt;0,G51/D51,"")</f>
        <v/>
      </c>
      <c r="I51" s="3" t="str">
        <f aca="false">IF(AND(D51&gt;0,F51&gt;0),D51/F51,"")</f>
        <v/>
      </c>
      <c r="J51" s="3" t="n">
        <f aca="false">IF(F51&gt;0,G51/F51,"")</f>
        <v>0</v>
      </c>
    </row>
    <row r="52" customFormat="false" ht="15" hidden="false" customHeight="false" outlineLevel="0" collapsed="false">
      <c r="A52" s="8" t="n">
        <v>48</v>
      </c>
      <c r="B52" s="8" t="s">
        <v>35</v>
      </c>
      <c r="C52" s="8" t="s">
        <v>67</v>
      </c>
      <c r="D52" s="7" t="n">
        <v>0</v>
      </c>
      <c r="E52" s="11" t="n">
        <v>4</v>
      </c>
      <c r="F52" s="11" t="n">
        <v>3</v>
      </c>
      <c r="G52" s="7" t="n">
        <v>0</v>
      </c>
      <c r="H52" s="6" t="str">
        <f aca="false">IF(D52&gt;0,G52/D52,"")</f>
        <v/>
      </c>
      <c r="I52" s="3" t="str">
        <f aca="false">IF(AND(D52&gt;0,F52&gt;0),D52/F52,"")</f>
        <v/>
      </c>
      <c r="J52" s="3" t="n">
        <f aca="false">IF(F52&gt;0,G52/F52,"")</f>
        <v>0</v>
      </c>
    </row>
    <row r="53" customFormat="false" ht="15" hidden="false" customHeight="false" outlineLevel="0" collapsed="false">
      <c r="A53" s="8" t="n">
        <v>49</v>
      </c>
      <c r="B53" s="8" t="s">
        <v>70</v>
      </c>
      <c r="C53" s="8" t="s">
        <v>26</v>
      </c>
      <c r="D53" s="7" t="n">
        <v>0</v>
      </c>
      <c r="E53" s="11" t="n">
        <v>4</v>
      </c>
      <c r="F53" s="11" t="n">
        <v>3</v>
      </c>
      <c r="G53" s="7" t="n">
        <v>0</v>
      </c>
      <c r="H53" s="6" t="str">
        <f aca="false">IF(D53&gt;0,G53/D53,"")</f>
        <v/>
      </c>
      <c r="I53" s="3" t="str">
        <f aca="false">IF(AND(D53&gt;0,F53&gt;0),D53/F53,"")</f>
        <v/>
      </c>
      <c r="J53" s="3" t="n">
        <f aca="false">IF(F53&gt;0,G53/F53,"")</f>
        <v>0</v>
      </c>
    </row>
    <row r="54" customFormat="false" ht="15" hidden="false" customHeight="false" outlineLevel="0" collapsed="false">
      <c r="A54" s="8" t="n">
        <v>50</v>
      </c>
      <c r="B54" s="8" t="s">
        <v>71</v>
      </c>
      <c r="C54" s="8" t="s">
        <v>26</v>
      </c>
      <c r="D54" s="7" t="n">
        <v>0</v>
      </c>
      <c r="E54" s="11" t="n">
        <v>3</v>
      </c>
      <c r="F54" s="11" t="n">
        <v>2</v>
      </c>
      <c r="G54" s="7" t="n">
        <v>0</v>
      </c>
      <c r="H54" s="6" t="str">
        <f aca="false">IF(D54&gt;0,G54/D54,"")</f>
        <v/>
      </c>
      <c r="I54" s="3" t="str">
        <f aca="false">IF(AND(D54&gt;0,F54&gt;0),D54/F54,"")</f>
        <v/>
      </c>
      <c r="J54" s="3" t="n">
        <f aca="false">IF(F54&gt;0,G54/F54,"")</f>
        <v>0</v>
      </c>
    </row>
    <row r="55" customFormat="false" ht="15" hidden="false" customHeight="false" outlineLevel="0" collapsed="false">
      <c r="A55" s="8" t="n">
        <v>51</v>
      </c>
      <c r="B55" s="8" t="s">
        <v>72</v>
      </c>
      <c r="C55" s="8" t="s">
        <v>26</v>
      </c>
      <c r="D55" s="7" t="n">
        <v>0</v>
      </c>
      <c r="E55" s="11" t="n">
        <v>2</v>
      </c>
      <c r="F55" s="11" t="n">
        <v>2</v>
      </c>
      <c r="G55" s="7" t="n">
        <v>0</v>
      </c>
      <c r="H55" s="6" t="str">
        <f aca="false">IF(D55&gt;0,G55/D55,"")</f>
        <v/>
      </c>
      <c r="I55" s="3" t="str">
        <f aca="false">IF(AND(D55&gt;0,F55&gt;0),D55/F55,"")</f>
        <v/>
      </c>
      <c r="J55" s="3" t="n">
        <f aca="false">IF(F55&gt;0,G55/F55,"")</f>
        <v>0</v>
      </c>
    </row>
    <row r="56" customFormat="false" ht="15" hidden="false" customHeight="false" outlineLevel="0" collapsed="false">
      <c r="A56" s="8" t="n">
        <v>52</v>
      </c>
      <c r="B56" s="8" t="s">
        <v>73</v>
      </c>
      <c r="C56" s="8" t="s">
        <v>28</v>
      </c>
      <c r="D56" s="7" t="n">
        <v>344.89</v>
      </c>
      <c r="E56" s="11" t="n">
        <v>1</v>
      </c>
      <c r="F56" s="11" t="n">
        <v>1</v>
      </c>
      <c r="G56" s="7" t="n">
        <v>0</v>
      </c>
      <c r="H56" s="6" t="n">
        <f aca="false">IF(D56&gt;0,G56/D56,"")</f>
        <v>0</v>
      </c>
      <c r="I56" s="3" t="n">
        <f aca="false">IF(AND(D56&gt;0,F56&gt;0),D56/F56,"")</f>
        <v>344.89</v>
      </c>
      <c r="J56" s="3" t="n">
        <f aca="false">IF(F56&gt;0,G56/F56,"")</f>
        <v>0</v>
      </c>
    </row>
    <row r="57" customFormat="false" ht="15" hidden="false" customHeight="false" outlineLevel="0" collapsed="false">
      <c r="A57" s="8" t="n">
        <v>53</v>
      </c>
      <c r="B57" s="8" t="s">
        <v>74</v>
      </c>
      <c r="C57" s="8" t="s">
        <v>28</v>
      </c>
      <c r="D57" s="7" t="n">
        <v>0</v>
      </c>
      <c r="E57" s="11" t="n">
        <v>0</v>
      </c>
      <c r="F57" s="11" t="n">
        <v>1</v>
      </c>
      <c r="G57" s="7" t="n">
        <v>0</v>
      </c>
      <c r="H57" s="6" t="str">
        <f aca="false">IF(D57&gt;0,G57/D57,"")</f>
        <v/>
      </c>
      <c r="I57" s="3" t="str">
        <f aca="false">IF(AND(D57&gt;0,F57&gt;0),D57/F57,"")</f>
        <v/>
      </c>
      <c r="J57" s="3" t="n">
        <f aca="false">IF(F57&gt;0,G57/F57,"")</f>
        <v>0</v>
      </c>
    </row>
    <row r="58" customFormat="false" ht="15" hidden="false" customHeight="false" outlineLevel="0" collapsed="false">
      <c r="A58" s="8" t="n">
        <v>54</v>
      </c>
      <c r="B58" s="8" t="s">
        <v>75</v>
      </c>
      <c r="C58" s="8" t="s">
        <v>24</v>
      </c>
      <c r="D58" s="7" t="n">
        <v>0</v>
      </c>
      <c r="E58" s="11" t="n">
        <v>1</v>
      </c>
      <c r="F58" s="11" t="n">
        <v>1</v>
      </c>
      <c r="G58" s="7" t="n">
        <v>0</v>
      </c>
      <c r="H58" s="6" t="str">
        <f aca="false">IF(D58&gt;0,G58/D58,"")</f>
        <v/>
      </c>
      <c r="I58" s="3" t="str">
        <f aca="false">IF(AND(D58&gt;0,F58&gt;0),D58/F58,"")</f>
        <v/>
      </c>
      <c r="J58" s="3" t="n">
        <f aca="false">IF(F58&gt;0,G58/F58,"")</f>
        <v>0</v>
      </c>
    </row>
    <row r="59" customFormat="false" ht="15" hidden="false" customHeight="false" outlineLevel="0" collapsed="false">
      <c r="A59" s="8" t="n">
        <v>55</v>
      </c>
      <c r="B59" s="8" t="s">
        <v>76</v>
      </c>
      <c r="C59" s="8" t="s">
        <v>67</v>
      </c>
      <c r="D59" s="7" t="n">
        <v>0</v>
      </c>
      <c r="E59" s="11" t="n">
        <v>2</v>
      </c>
      <c r="F59" s="11" t="n">
        <v>1</v>
      </c>
      <c r="G59" s="7" t="n">
        <v>0</v>
      </c>
      <c r="H59" s="6" t="str">
        <f aca="false">IF(D59&gt;0,G59/D59,"")</f>
        <v/>
      </c>
      <c r="I59" s="3" t="str">
        <f aca="false">IF(AND(D59&gt;0,F59&gt;0),D59/F59,"")</f>
        <v/>
      </c>
      <c r="J59" s="3" t="n">
        <f aca="false">IF(F59&gt;0,G59/F59,"")</f>
        <v>0</v>
      </c>
    </row>
    <row r="60" customFormat="false" ht="15" hidden="false" customHeight="false" outlineLevel="0" collapsed="false">
      <c r="A60" s="8" t="n">
        <v>56</v>
      </c>
      <c r="B60" s="8" t="s">
        <v>57</v>
      </c>
      <c r="C60" s="8" t="s">
        <v>26</v>
      </c>
      <c r="D60" s="7" t="n">
        <v>0</v>
      </c>
      <c r="E60" s="11" t="n">
        <v>1</v>
      </c>
      <c r="F60" s="11" t="n">
        <v>0</v>
      </c>
      <c r="G60" s="7" t="n">
        <v>0</v>
      </c>
      <c r="H60" s="6" t="str">
        <f aca="false">IF(D60&gt;0,G60/D60,"")</f>
        <v/>
      </c>
      <c r="I60" s="3" t="str">
        <f aca="false">IF(AND(D60&gt;0,F60&gt;0),D60/F60,"")</f>
        <v/>
      </c>
      <c r="J60" s="3" t="str">
        <f aca="false">IF(F60&gt;0,G60/F60,"")</f>
        <v/>
      </c>
    </row>
    <row r="61" customFormat="false" ht="15" hidden="false" customHeight="false" outlineLevel="0" collapsed="false">
      <c r="B61" s="8" t="s">
        <v>77</v>
      </c>
      <c r="C61" s="8" t="s">
        <v>28</v>
      </c>
      <c r="D61" s="7" t="n">
        <v>5064.61</v>
      </c>
      <c r="E61" s="12"/>
      <c r="F61" s="12"/>
      <c r="G61" s="13"/>
      <c r="H61" s="14"/>
      <c r="I61" s="13"/>
      <c r="J61" s="13"/>
    </row>
    <row r="62" customFormat="false" ht="15" hidden="false" customHeight="false" outlineLevel="0" collapsed="false">
      <c r="B62" s="2" t="s">
        <v>78</v>
      </c>
      <c r="D62" s="15" t="n">
        <f aca="false">SUM(D5:D61)</f>
        <v>173871.59</v>
      </c>
      <c r="E62" s="16" t="n">
        <f aca="false">SUM(E5:E61)</f>
        <v>5007</v>
      </c>
      <c r="F62" s="16" t="n">
        <f aca="false">SUM(F5:F61)</f>
        <v>3613</v>
      </c>
      <c r="G62" s="15" t="n">
        <f aca="false">SUM(G5:G61)</f>
        <v>841452.23</v>
      </c>
      <c r="H62" s="17" t="n">
        <f aca="false">G62/D62</f>
        <v>4.83950385454001</v>
      </c>
      <c r="I62" s="15" t="n">
        <f aca="false">D62/F62</f>
        <v>48.1238831995572</v>
      </c>
      <c r="J62" s="15" t="n">
        <f aca="false">G62/F62</f>
        <v>232.89571823969</v>
      </c>
    </row>
  </sheetData>
  <autoFilter ref="A4:J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79</v>
      </c>
    </row>
    <row r="3" customFormat="false" ht="23.85" hidden="false" customHeight="false" outlineLevel="0" collapsed="false">
      <c r="A3" s="10" t="s">
        <v>18</v>
      </c>
      <c r="B3" s="10" t="s">
        <v>19</v>
      </c>
      <c r="C3" s="10" t="s">
        <v>2</v>
      </c>
      <c r="D3" s="10" t="s">
        <v>3</v>
      </c>
      <c r="E3" s="10" t="s">
        <v>20</v>
      </c>
      <c r="F3" s="10" t="s">
        <v>80</v>
      </c>
      <c r="G3" s="10" t="s">
        <v>6</v>
      </c>
    </row>
    <row r="4" customFormat="false" ht="15" hidden="false" customHeight="false" outlineLevel="0" collapsed="false">
      <c r="A4" s="8" t="s">
        <v>24</v>
      </c>
      <c r="B4" s="3" t="n">
        <f aca="false">SUMIFS('All Campaigns Ranked'!$D$5:$D$61,'All Campaigns Ranked'!$C$5:$C$61,$A4)</f>
        <v>0</v>
      </c>
      <c r="C4" s="4" t="n">
        <f aca="false">SUMIFS('All Campaigns Ranked'!$E$5:$E$61,'All Campaigns Ranked'!$C$5:$C$61,$A4)</f>
        <v>1602</v>
      </c>
      <c r="D4" s="4" t="n">
        <f aca="false">SUMIFS('All Campaigns Ranked'!$F$5:$F$61,'All Campaigns Ranked'!$C$5:$C$61,$A4)</f>
        <v>1135</v>
      </c>
      <c r="E4" s="3" t="n">
        <f aca="false">SUMIFS('All Campaigns Ranked'!$G$5:$G$61,'All Campaigns Ranked'!$C$5:$C$61,$A4)</f>
        <v>351992.73</v>
      </c>
      <c r="F4" s="18" t="n">
        <f aca="false">E4/$E$10</f>
        <v>0.418315761074161</v>
      </c>
      <c r="G4" s="6" t="str">
        <f aca="false">IF(B4&gt;0,E4/B4,"")</f>
        <v/>
      </c>
    </row>
    <row r="5" customFormat="false" ht="15" hidden="false" customHeight="false" outlineLevel="0" collapsed="false">
      <c r="A5" s="8" t="s">
        <v>28</v>
      </c>
      <c r="B5" s="3" t="n">
        <f aca="false">SUMIFS('All Campaigns Ranked'!$D$5:$D$61,'All Campaigns Ranked'!$C$5:$C$61,$A5)</f>
        <v>173871.59</v>
      </c>
      <c r="C5" s="4" t="n">
        <f aca="false">SUMIFS('All Campaigns Ranked'!$E$5:$E$61,'All Campaigns Ranked'!$C$5:$C$61,$A5)</f>
        <v>2299</v>
      </c>
      <c r="D5" s="4" t="n">
        <f aca="false">SUMIFS('All Campaigns Ranked'!$F$5:$F$61,'All Campaigns Ranked'!$C$5:$C$61,$A5)</f>
        <v>1820</v>
      </c>
      <c r="E5" s="3" t="n">
        <f aca="false">SUMIFS('All Campaigns Ranked'!$G$5:$G$61,'All Campaigns Ranked'!$C$5:$C$61,$A5)</f>
        <v>348694.48</v>
      </c>
      <c r="F5" s="18" t="n">
        <f aca="false">E5/$E$10</f>
        <v>0.41439604955352</v>
      </c>
      <c r="G5" s="6" t="n">
        <f aca="false">IF(B5&gt;0,E5/B5,"")</f>
        <v>2.00547127912041</v>
      </c>
    </row>
    <row r="6" customFormat="false" ht="15" hidden="false" customHeight="false" outlineLevel="0" collapsed="false">
      <c r="A6" s="8" t="s">
        <v>26</v>
      </c>
      <c r="B6" s="3" t="n">
        <f aca="false">SUMIFS('All Campaigns Ranked'!$D$5:$D$61,'All Campaigns Ranked'!$C$5:$C$61,$A6)</f>
        <v>0</v>
      </c>
      <c r="C6" s="4" t="n">
        <f aca="false">SUMIFS('All Campaigns Ranked'!$E$5:$E$61,'All Campaigns Ranked'!$C$5:$C$61,$A6)</f>
        <v>894</v>
      </c>
      <c r="D6" s="4" t="n">
        <f aca="false">SUMIFS('All Campaigns Ranked'!$F$5:$F$61,'All Campaigns Ranked'!$C$5:$C$61,$A6)</f>
        <v>530</v>
      </c>
      <c r="E6" s="3" t="n">
        <f aca="false">SUMIFS('All Campaigns Ranked'!$G$5:$G$61,'All Campaigns Ranked'!$C$5:$C$61,$A6)</f>
        <v>122598.8</v>
      </c>
      <c r="F6" s="18" t="n">
        <f aca="false">E6/$E$10</f>
        <v>0.145699061252711</v>
      </c>
      <c r="G6" s="6" t="str">
        <f aca="false">IF(B6&gt;0,E6/B6,"")</f>
        <v/>
      </c>
    </row>
    <row r="7" customFormat="false" ht="15" hidden="false" customHeight="false" outlineLevel="0" collapsed="false">
      <c r="A7" s="8" t="s">
        <v>38</v>
      </c>
      <c r="B7" s="3" t="n">
        <f aca="false">SUMIFS('All Campaigns Ranked'!$D$5:$D$61,'All Campaigns Ranked'!$C$5:$C$61,$A7)</f>
        <v>0</v>
      </c>
      <c r="C7" s="4" t="n">
        <f aca="false">SUMIFS('All Campaigns Ranked'!$E$5:$E$61,'All Campaigns Ranked'!$C$5:$C$61,$A7)</f>
        <v>192</v>
      </c>
      <c r="D7" s="4" t="n">
        <f aca="false">SUMIFS('All Campaigns Ranked'!$F$5:$F$61,'All Campaigns Ranked'!$C$5:$C$61,$A7)</f>
        <v>111</v>
      </c>
      <c r="E7" s="3" t="n">
        <f aca="false">SUMIFS('All Campaigns Ranked'!$G$5:$G$61,'All Campaigns Ranked'!$C$5:$C$61,$A7)</f>
        <v>16989.16</v>
      </c>
      <c r="F7" s="18" t="n">
        <f aca="false">E7/$E$10</f>
        <v>0.020190284598806</v>
      </c>
      <c r="G7" s="6" t="str">
        <f aca="false">IF(B7&gt;0,E7/B7,"")</f>
        <v/>
      </c>
    </row>
    <row r="8" customFormat="false" ht="15" hidden="false" customHeight="false" outlineLevel="0" collapsed="false">
      <c r="A8" s="8" t="s">
        <v>52</v>
      </c>
      <c r="B8" s="3" t="n">
        <f aca="false">SUMIFS('All Campaigns Ranked'!$D$5:$D$61,'All Campaigns Ranked'!$C$5:$C$61,$A8)</f>
        <v>0</v>
      </c>
      <c r="C8" s="4" t="n">
        <f aca="false">SUMIFS('All Campaigns Ranked'!$E$5:$E$61,'All Campaigns Ranked'!$C$5:$C$61,$A8)</f>
        <v>10</v>
      </c>
      <c r="D8" s="4" t="n">
        <f aca="false">SUMIFS('All Campaigns Ranked'!$F$5:$F$61,'All Campaigns Ranked'!$C$5:$C$61,$A8)</f>
        <v>9</v>
      </c>
      <c r="E8" s="3" t="n">
        <f aca="false">SUMIFS('All Campaigns Ranked'!$G$5:$G$61,'All Campaigns Ranked'!$C$5:$C$61,$A8)</f>
        <v>1177.06</v>
      </c>
      <c r="F8" s="18" t="n">
        <f aca="false">E8/$E$10</f>
        <v>0.00139884352080213</v>
      </c>
      <c r="G8" s="6" t="str">
        <f aca="false">IF(B8&gt;0,E8/B8,"")</f>
        <v/>
      </c>
    </row>
    <row r="9" customFormat="false" ht="15" hidden="false" customHeight="false" outlineLevel="0" collapsed="false">
      <c r="A9" s="8" t="s">
        <v>67</v>
      </c>
      <c r="B9" s="3" t="n">
        <f aca="false">SUMIFS('All Campaigns Ranked'!$D$5:$D$61,'All Campaigns Ranked'!$C$5:$C$61,$A9)</f>
        <v>0</v>
      </c>
      <c r="C9" s="4" t="n">
        <f aca="false">SUMIFS('All Campaigns Ranked'!$E$5:$E$61,'All Campaigns Ranked'!$C$5:$C$61,$A9)</f>
        <v>10</v>
      </c>
      <c r="D9" s="4" t="n">
        <f aca="false">SUMIFS('All Campaigns Ranked'!$F$5:$F$61,'All Campaigns Ranked'!$C$5:$C$61,$A9)</f>
        <v>8</v>
      </c>
      <c r="E9" s="3" t="n">
        <f aca="false">SUMIFS('All Campaigns Ranked'!$G$5:$G$61,'All Campaigns Ranked'!$C$5:$C$61,$A9)</f>
        <v>0</v>
      </c>
      <c r="F9" s="18" t="n">
        <f aca="false">E9/$E$10</f>
        <v>0</v>
      </c>
      <c r="G9" s="6" t="str">
        <f aca="false">IF(B9&gt;0,E9/B9,"")</f>
        <v/>
      </c>
    </row>
    <row r="10" customFormat="false" ht="15" hidden="false" customHeight="false" outlineLevel="0" collapsed="false">
      <c r="A10" s="2" t="s">
        <v>78</v>
      </c>
      <c r="B10" s="15" t="n">
        <f aca="false">SUM(B4:B9)</f>
        <v>173871.59</v>
      </c>
      <c r="C10" s="16" t="n">
        <f aca="false">SUM(C4:C9)</f>
        <v>5007</v>
      </c>
      <c r="D10" s="16" t="n">
        <f aca="false">SUM(D4:D9)</f>
        <v>3613</v>
      </c>
      <c r="E10" s="15" t="n">
        <f aca="false">SUM(E4:E9)</f>
        <v>841452.23</v>
      </c>
      <c r="F10" s="19" t="n">
        <f aca="false">SUM(F4:F9)</f>
        <v>1</v>
      </c>
      <c r="G10" s="17" t="n">
        <f aca="false">E10/B10</f>
        <v>4.83950385454001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2026-10-23T13:03:59Z</dcterms:created>
  <dc:creator>openpyxl</dc:creator>
  <dc:description/>
  <dc:language>en-US</dc:language>
  <cp:lastModifiedBy/>
  <dcterms:modified xsi:type="dcterms:W3CDTF">2026-10-23T13:03:59Z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