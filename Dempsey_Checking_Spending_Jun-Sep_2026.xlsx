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1613.1125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173.2375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387.6075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1458.2875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290.7425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85.6075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Student Loan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Student Loan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Groceries</t>
        </is>
      </c>
    </row>
    <row r="35">
      <c r="A35" s="12" t="inlineStr">
        <is>
          <t xml:space="preserve">Grocery – Lowes Foods</t>
        </is>
      </c>
      <c r="B35" s="3">
        <f>SUMIFS('All Transactions'!$F$5:$F$436,'All Transactions'!$D$5:$D$436,$A35,'All Transactions'!$A$5:$A$436,B$4)</f>
        <v>1145.69</v>
      </c>
      <c r="C35" s="3">
        <f>SUMIFS('All Transactions'!$F$5:$F$436,'All Transactions'!$D$5:$D$436,$A35,'All Transactions'!$A$5:$A$436,C$4)</f>
        <v>611.14</v>
      </c>
      <c r="D35" s="3">
        <f>SUMIFS('All Transactions'!$F$5:$F$436,'All Transactions'!$D$5:$D$436,$A35,'All Transactions'!$A$5:$A$436,D$4)</f>
        <v>584.25</v>
      </c>
      <c r="E35" s="3">
        <f>SUMIFS('All Transactions'!$F$5:$F$436,'All Transactions'!$D$5:$D$436,$A35,'All Transactions'!$A$5:$A$436,E$4)</f>
        <v>571.85</v>
      </c>
      <c r="F35" s="3">
        <f>SUM(B35:E35)</f>
        <v>2912.93</v>
      </c>
      <c r="G35" s="3">
        <f>F35/4</f>
        <v>728.2325</v>
      </c>
    </row>
    <row r="36">
      <c r="A36" s="12" t="inlineStr">
        <is>
          <t xml:space="preserve">Grocery – Publix</t>
        </is>
      </c>
      <c r="B36" s="3">
        <f>SUMIFS('All Transactions'!$F$5:$F$436,'All Transactions'!$D$5:$D$436,$A36,'All Transactions'!$A$5:$A$436,B$4)</f>
        <v>120.71</v>
      </c>
      <c r="C36" s="3">
        <f>SUMIFS('All Transactions'!$F$5:$F$436,'All Transactions'!$D$5:$D$436,$A36,'All Transactions'!$A$5:$A$436,C$4)</f>
        <v>331.43</v>
      </c>
      <c r="D36" s="3">
        <f>SUMIFS('All Transactions'!$F$5:$F$436,'All Transactions'!$D$5:$D$436,$A36,'All Transactions'!$A$5:$A$436,D$4)</f>
        <v>522.68</v>
      </c>
      <c r="E36" s="3">
        <f>SUMIFS('All Transactions'!$F$5:$F$436,'All Transactions'!$D$5:$D$436,$A36,'All Transactions'!$A$5:$A$436,E$4)</f>
        <v>630.65</v>
      </c>
      <c r="F36" s="3">
        <f>SUM(B36:E36)</f>
        <v>1605.47</v>
      </c>
      <c r="G36" s="3">
        <f>F36/4</f>
        <v>401.3675</v>
      </c>
    </row>
    <row r="37">
      <c r="A37" s="12" t="inlineStr">
        <is>
          <t xml:space="preserve">Grocery – Food Lion</t>
        </is>
      </c>
      <c r="B37" s="3">
        <f>SUMIFS('All Transactions'!$F$5:$F$436,'All Transactions'!$D$5:$D$436,$A37,'All Transactions'!$A$5:$A$436,B$4)</f>
        <v>0</v>
      </c>
      <c r="C37" s="3">
        <f>SUMIFS('All Transactions'!$F$5:$F$436,'All Transactions'!$D$5:$D$436,$A37,'All Transactions'!$A$5:$A$436,C$4)</f>
        <v>336.67</v>
      </c>
      <c r="D37" s="3">
        <f>SUMIFS('All Transactions'!$F$5:$F$436,'All Transactions'!$D$5:$D$436,$A37,'All Transactions'!$A$5:$A$436,D$4)</f>
        <v>77.34</v>
      </c>
      <c r="E37" s="3">
        <f>SUMIFS('All Transactions'!$F$5:$F$436,'All Transactions'!$D$5:$D$436,$A37,'All Transactions'!$A$5:$A$436,E$4)</f>
        <v>0</v>
      </c>
      <c r="F37" s="3">
        <f>SUM(B37:E37)</f>
        <v>414.01</v>
      </c>
      <c r="G37" s="3">
        <f>F37/4</f>
        <v>103.5025</v>
      </c>
    </row>
    <row r="38">
      <c r="A38" s="7" t="inlineStr">
        <is>
          <t xml:space="preserve">Total Groceries</t>
        </is>
      </c>
      <c r="B38" s="6">
        <f>SUM(B35:B37)</f>
        <v>1266.4</v>
      </c>
      <c r="C38" s="6">
        <f>SUM(C35:C37)</f>
        <v>1279.24</v>
      </c>
      <c r="D38" s="6">
        <f>SUM(D35:D37)</f>
        <v>1184.27</v>
      </c>
      <c r="E38" s="6">
        <f>SUM(E35:E37)</f>
        <v>1202.5</v>
      </c>
      <c r="F38" s="6">
        <f>SUM(F35:F37)</f>
        <v>4932.41</v>
      </c>
      <c r="G38" s="6">
        <f>F38/4</f>
        <v>1233.1025</v>
      </c>
    </row>
    <row r="40">
      <c r="A40" s="5" t="inlineStr">
        <is>
          <t xml:space="preserve">Food</t>
        </is>
      </c>
    </row>
    <row r="41">
      <c r="A41" s="12" t="inlineStr">
        <is>
          <t xml:space="preserve">Other Food Stores (Harris Teeter, Beach Pantry)</t>
        </is>
      </c>
      <c r="B41" s="3">
        <f>SUMIFS('All Transactions'!$F$5:$F$436,'All Transactions'!$D$5:$D$436,$A41,'All Transactions'!$A$5:$A$436,B$4)</f>
        <v>263.35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5.85</v>
      </c>
      <c r="E41" s="3">
        <f>SUMIFS('All Transactions'!$F$5:$F$436,'All Transactions'!$D$5:$D$436,$A41,'All Transactions'!$A$5:$A$436,E$4)</f>
        <v>0</v>
      </c>
      <c r="F41" s="3">
        <f>SUM(B41:E41)</f>
        <v>269.2</v>
      </c>
      <c r="G41" s="3">
        <f>F41/4</f>
        <v>67.3</v>
      </c>
    </row>
    <row r="42">
      <c r="A42" s="12" t="inlineStr">
        <is>
          <t xml:space="preserve">Restaurants &amp; Takeout</t>
        </is>
      </c>
      <c r="B42" s="3">
        <f>SUMIFS('All Transactions'!$F$5:$F$436,'All Transactions'!$D$5:$D$436,$A42,'All Transactions'!$A$5:$A$436,B$4)</f>
        <v>1019.45</v>
      </c>
      <c r="C42" s="3">
        <f>SUMIFS('All Transactions'!$F$5:$F$436,'All Transactions'!$D$5:$D$436,$A42,'All Transactions'!$A$5:$A$436,C$4)</f>
        <v>935.1</v>
      </c>
      <c r="D42" s="3">
        <f>SUMIFS('All Transactions'!$F$5:$F$436,'All Transactions'!$D$5:$D$436,$A42,'All Transactions'!$A$5:$A$436,D$4)</f>
        <v>962.62</v>
      </c>
      <c r="E42" s="3">
        <f>SUMIFS('All Transactions'!$F$5:$F$436,'All Transactions'!$D$5:$D$436,$A42,'All Transactions'!$A$5:$A$436,E$4)</f>
        <v>848.05</v>
      </c>
      <c r="F42" s="3">
        <f>SUM(B42:E42)</f>
        <v>3765.22</v>
      </c>
      <c r="G42" s="3">
        <f>F42/4</f>
        <v>941.305</v>
      </c>
    </row>
    <row r="43">
      <c r="A43" s="7" t="inlineStr">
        <is>
          <t xml:space="preserve">Total Food</t>
        </is>
      </c>
      <c r="B43" s="6">
        <f>SUM(B41:B42)</f>
        <v>1282.8</v>
      </c>
      <c r="C43" s="6">
        <f>SUM(C41:C42)</f>
        <v>935.1</v>
      </c>
      <c r="D43" s="6">
        <f>SUM(D41:D42)</f>
        <v>968.47</v>
      </c>
      <c r="E43" s="6">
        <f>SUM(E41:E42)</f>
        <v>848.05</v>
      </c>
      <c r="F43" s="6">
        <f>SUM(F41:F42)</f>
        <v>4034.42</v>
      </c>
      <c r="G43" s="6">
        <f>F43/4</f>
        <v>1008.605</v>
      </c>
    </row>
    <row r="45">
      <c r="A45" s="5" t="inlineStr">
        <is>
          <t xml:space="preserve">Transportation</t>
        </is>
      </c>
    </row>
    <row r="46">
      <c r="A46" s="12" t="inlineStr">
        <is>
          <t xml:space="preserve">Gas &amp; Convenience Stores</t>
        </is>
      </c>
      <c r="B46" s="3">
        <f>SUMIFS('All Transactions'!$F$5:$F$436,'All Transactions'!$D$5:$D$436,$A46,'All Transactions'!$A$5:$A$436,B$4)</f>
        <v>108.9</v>
      </c>
      <c r="C46" s="3">
        <f>SUMIFS('All Transactions'!$F$5:$F$436,'All Transactions'!$D$5:$D$436,$A46,'All Transactions'!$A$5:$A$436,C$4)</f>
        <v>277.87</v>
      </c>
      <c r="D46" s="3">
        <f>SUMIFS('All Transactions'!$F$5:$F$436,'All Transactions'!$D$5:$D$436,$A46,'All Transactions'!$A$5:$A$436,D$4)</f>
        <v>167.24</v>
      </c>
      <c r="E46" s="3">
        <f>SUMIFS('All Transactions'!$F$5:$F$436,'All Transactions'!$D$5:$D$436,$A46,'All Transactions'!$A$5:$A$436,E$4)</f>
        <v>238.98</v>
      </c>
      <c r="F46" s="3">
        <f>SUM(B46:E46)</f>
        <v>792.99</v>
      </c>
      <c r="G46" s="3">
        <f>F46/4</f>
        <v>198.2475</v>
      </c>
    </row>
    <row r="47">
      <c r="A47" s="12" t="inlineStr">
        <is>
          <t xml:space="preserve">Tolls &amp; Parking</t>
        </is>
      </c>
      <c r="B47" s="3">
        <f>SUMIFS('All Transactions'!$F$5:$F$436,'All Transactions'!$D$5:$D$436,$A47,'All Transactions'!$A$5:$A$436,B$4)</f>
        <v>5.84</v>
      </c>
      <c r="C47" s="3">
        <f>SUMIFS('All Transactions'!$F$5:$F$436,'All Transactions'!$D$5:$D$436,$A47,'All Transactions'!$A$5:$A$436,C$4)</f>
        <v>0</v>
      </c>
      <c r="D47" s="3">
        <f>SUMIFS('All Transactions'!$F$5:$F$436,'All Transactions'!$D$5:$D$436,$A47,'All Transactions'!$A$5:$A$436,D$4)</f>
        <v>18.44</v>
      </c>
      <c r="E47" s="3">
        <f>SUMIFS('All Transactions'!$F$5:$F$436,'All Transactions'!$D$5:$D$436,$A47,'All Transactions'!$A$5:$A$436,E$4)</f>
        <v>74.24</v>
      </c>
      <c r="F47" s="3">
        <f>SUM(B47:E47)</f>
        <v>98.52</v>
      </c>
      <c r="G47" s="3">
        <f>F47/4</f>
        <v>24.63</v>
      </c>
    </row>
    <row r="48">
      <c r="A48" s="7" t="inlineStr">
        <is>
          <t xml:space="preserve">Total Transportation</t>
        </is>
      </c>
      <c r="B48" s="6">
        <f>SUM(B46:B47)</f>
        <v>114.74</v>
      </c>
      <c r="C48" s="6">
        <f>SUM(C46:C47)</f>
        <v>277.87</v>
      </c>
      <c r="D48" s="6">
        <f>SUM(D46:D47)</f>
        <v>185.68</v>
      </c>
      <c r="E48" s="6">
        <f>SUM(E46:E47)</f>
        <v>313.22</v>
      </c>
      <c r="F48" s="6">
        <f>SUM(F46:F47)</f>
        <v>891.51</v>
      </c>
      <c r="G48" s="6">
        <f>F48/4</f>
        <v>222.8775</v>
      </c>
    </row>
    <row r="50">
      <c r="A50" s="5" t="inlineStr">
        <is>
          <t xml:space="preserve">Streaming</t>
        </is>
      </c>
    </row>
    <row r="51">
      <c r="A51" s="12" t="inlineStr">
        <is>
          <t xml:space="preserve">Streaming – YouTube TV (Google)</t>
        </is>
      </c>
      <c r="B51" s="3">
        <f>SUMIFS('All Transactions'!$F$5:$F$436,'All Transactions'!$D$5:$D$436,$A51,'All Transactions'!$A$5:$A$436,B$4)</f>
        <v>100.78</v>
      </c>
      <c r="C51" s="3">
        <f>SUMIFS('All Transactions'!$F$5:$F$436,'All Transactions'!$D$5:$D$436,$A51,'All Transactions'!$A$5:$A$436,C$4)</f>
        <v>100.78</v>
      </c>
      <c r="D51" s="3">
        <f>SUMIFS('All Transactions'!$F$5:$F$436,'All Transactions'!$D$5:$D$436,$A51,'All Transactions'!$A$5:$A$436,D$4)</f>
        <v>89.0</v>
      </c>
      <c r="E51" s="3">
        <f>SUMIFS('All Transactions'!$F$5:$F$436,'All Transactions'!$D$5:$D$436,$A51,'All Transactions'!$A$5:$A$436,E$4)</f>
        <v>132.43</v>
      </c>
      <c r="F51" s="3">
        <f>SUM(B51:E51)</f>
        <v>422.99</v>
      </c>
      <c r="G51" s="3">
        <f>F51/4</f>
        <v>105.7475</v>
      </c>
    </row>
    <row r="52">
      <c r="A52" s="12" t="inlineStr">
        <is>
          <t xml:space="preserve">Streaming – ESPN (Sept billed as Disney Plus)</t>
        </is>
      </c>
      <c r="B52" s="3">
        <f>SUMIFS('All Transactions'!$F$5:$F$436,'All Transactions'!$D$5:$D$436,$A52,'All Transactions'!$A$5:$A$436,B$4)</f>
        <v>13.87</v>
      </c>
      <c r="C52" s="3">
        <f>SUMIFS('All Transactions'!$F$5:$F$436,'All Transactions'!$D$5:$D$436,$A52,'All Transactions'!$A$5:$A$436,C$4)</f>
        <v>13.87</v>
      </c>
      <c r="D52" s="3">
        <f>SUMIFS('All Transactions'!$F$5:$F$436,'All Transactions'!$D$5:$D$436,$A52,'All Transactions'!$A$5:$A$436,D$4)</f>
        <v>13.87</v>
      </c>
      <c r="E52" s="3">
        <f>SUMIFS('All Transactions'!$F$5:$F$436,'All Transactions'!$D$5:$D$436,$A52,'All Transactions'!$A$5:$A$436,E$4)</f>
        <v>13.87</v>
      </c>
      <c r="F52" s="3">
        <f>SUM(B52:E52)</f>
        <v>55.48</v>
      </c>
      <c r="G52" s="3">
        <f>F52/4</f>
        <v>13.87</v>
      </c>
    </row>
    <row r="53">
      <c r="A53" s="12" t="inlineStr">
        <is>
          <t xml:space="preserve">Streaming – Disney (via Roku)</t>
        </is>
      </c>
      <c r="B53" s="3">
        <f>SUMIFS('All Transactions'!$F$5:$F$436,'All Transactions'!$D$5:$D$436,$A53,'All Transactions'!$A$5:$A$436,B$4)</f>
        <v>20.27</v>
      </c>
      <c r="C53" s="3">
        <f>SUMIFS('All Transactions'!$F$5:$F$436,'All Transactions'!$D$5:$D$436,$A53,'All Transactions'!$A$5:$A$436,C$4)</f>
        <v>20.27</v>
      </c>
      <c r="D53" s="3">
        <f>SUMIFS('All Transactions'!$F$5:$F$436,'All Transactions'!$D$5:$D$436,$A53,'All Transactions'!$A$5:$A$436,D$4)</f>
        <v>20.27</v>
      </c>
      <c r="E53" s="3">
        <f>SUMIFS('All Transactions'!$F$5:$F$436,'All Transactions'!$D$5:$D$436,$A53,'All Transactions'!$A$5:$A$436,E$4)</f>
        <v>20.27</v>
      </c>
      <c r="F53" s="3">
        <f>SUM(B53:E53)</f>
        <v>81.08</v>
      </c>
      <c r="G53" s="3">
        <f>F53/4</f>
        <v>20.27</v>
      </c>
    </row>
    <row r="54">
      <c r="A54" s="12" t="inlineStr">
        <is>
          <t xml:space="preserve">Streaming – HBO Max</t>
        </is>
      </c>
      <c r="B54" s="3">
        <f>SUMIFS('All Transactions'!$F$5:$F$436,'All Transactions'!$D$5:$D$436,$A54,'All Transactions'!$A$5:$A$436,B$4)</f>
        <v>19.74</v>
      </c>
      <c r="C54" s="3">
        <f>SUMIFS('All Transactions'!$F$5:$F$436,'All Transactions'!$D$5:$D$436,$A54,'All Transactions'!$A$5:$A$436,C$4)</f>
        <v>19.74</v>
      </c>
      <c r="D54" s="3">
        <f>SUMIFS('All Transactions'!$F$5:$F$436,'All Transactions'!$D$5:$D$436,$A54,'All Transactions'!$A$5:$A$436,D$4)</f>
        <v>0</v>
      </c>
      <c r="E54" s="3">
        <f>SUMIFS('All Transactions'!$F$5:$F$436,'All Transactions'!$D$5:$D$436,$A54,'All Transactions'!$A$5:$A$436,E$4)</f>
        <v>0</v>
      </c>
      <c r="F54" s="3">
        <f>SUM(B54:E54)</f>
        <v>39.48</v>
      </c>
      <c r="G54" s="3">
        <f>F54/4</f>
        <v>9.87</v>
      </c>
    </row>
    <row r="55">
      <c r="A55" s="12" t="inlineStr">
        <is>
          <t xml:space="preserve">Streaming – Hulu</t>
        </is>
      </c>
      <c r="B55" s="3">
        <f>SUMIFS('All Transactions'!$F$5:$F$436,'All Transactions'!$D$5:$D$436,$A55,'All Transactions'!$A$5:$A$436,B$4)</f>
        <v>0</v>
      </c>
      <c r="C55" s="3">
        <f>SUMIFS('All Transactions'!$F$5:$F$436,'All Transactions'!$D$5:$D$436,$A55,'All Transactions'!$A$5:$A$436,C$4)</f>
        <v>12.8</v>
      </c>
      <c r="D55" s="3">
        <f>SUMIFS('All Transactions'!$F$5:$F$436,'All Transactions'!$D$5:$D$436,$A55,'All Transactions'!$A$5:$A$436,D$4)</f>
        <v>12.8</v>
      </c>
      <c r="E55" s="3">
        <f>SUMIFS('All Transactions'!$F$5:$F$436,'All Transactions'!$D$5:$D$436,$A55,'All Transactions'!$A$5:$A$436,E$4)</f>
        <v>0</v>
      </c>
      <c r="F55" s="3">
        <f>SUM(B55:E55)</f>
        <v>25.6</v>
      </c>
      <c r="G55" s="3">
        <f>F55/4</f>
        <v>6.4</v>
      </c>
    </row>
    <row r="56">
      <c r="A56" s="12" t="inlineStr">
        <is>
          <t xml:space="preserve">Streaming – Peacock (via Roku)</t>
        </is>
      </c>
      <c r="B56" s="3">
        <f>SUMIFS('All Transactions'!$F$5:$F$436,'All Transactions'!$D$5:$D$436,$A56,'All Transactions'!$A$5:$A$436,B$4)</f>
        <v>11.73</v>
      </c>
      <c r="C56" s="3">
        <f>SUMIFS('All Transactions'!$F$5:$F$436,'All Transactions'!$D$5:$D$436,$A56,'All Transactions'!$A$5:$A$436,C$4)</f>
        <v>11.73</v>
      </c>
      <c r="D56" s="3">
        <f>SUMIFS('All Transactions'!$F$5:$F$436,'All Transactions'!$D$5:$D$436,$A56,'All Transactions'!$A$5:$A$436,D$4)</f>
        <v>0</v>
      </c>
      <c r="E56" s="3">
        <f>SUMIFS('All Transactions'!$F$5:$F$436,'All Transactions'!$D$5:$D$436,$A56,'All Transactions'!$A$5:$A$436,E$4)</f>
        <v>0</v>
      </c>
      <c r="F56" s="3">
        <f>SUM(B56:E56)</f>
        <v>23.46</v>
      </c>
      <c r="G56" s="3">
        <f>F56/4</f>
        <v>5.865</v>
      </c>
    </row>
    <row r="57">
      <c r="A57" s="12" t="inlineStr">
        <is>
          <t xml:space="preserve">Streaming – Frndly TV</t>
        </is>
      </c>
      <c r="B57" s="3">
        <f>SUMIFS('All Transactions'!$F$5:$F$436,'All Transactions'!$D$5:$D$436,$A57,'All Transactions'!$A$5:$A$436,B$4)</f>
        <v>22.41</v>
      </c>
      <c r="C57" s="3">
        <f>SUMIFS('All Transactions'!$F$5:$F$436,'All Transactions'!$D$5:$D$436,$A57,'All Transactions'!$A$5:$A$436,C$4)</f>
        <v>22.41</v>
      </c>
      <c r="D57" s="3">
        <f>SUMIFS('All Transactions'!$F$5:$F$436,'All Transactions'!$D$5:$D$436,$A57,'All Transactions'!$A$5:$A$436,D$4)</f>
        <v>22.41</v>
      </c>
      <c r="E57" s="3">
        <f>SUMIFS('All Transactions'!$F$5:$F$436,'All Transactions'!$D$5:$D$436,$A57,'All Transactions'!$A$5:$A$436,E$4)</f>
        <v>22.41</v>
      </c>
      <c r="F57" s="3">
        <f>SUM(B57:E57)</f>
        <v>89.64</v>
      </c>
      <c r="G57" s="3">
        <f>F57/4</f>
        <v>22.41</v>
      </c>
    </row>
    <row r="58">
      <c r="A58" s="12" t="inlineStr">
        <is>
          <t xml:space="preserve">Streaming – Netflix</t>
        </is>
      </c>
      <c r="B58" s="3">
        <f>SUMIFS('All Transactions'!$F$5:$F$436,'All Transactions'!$D$5:$D$436,$A58,'All Transactions'!$A$5:$A$436,B$4)</f>
        <v>0</v>
      </c>
      <c r="C58" s="3">
        <f>SUMIFS('All Transactions'!$F$5:$F$436,'All Transactions'!$D$5:$D$436,$A58,'All Transactions'!$A$5:$A$436,C$4)</f>
        <v>0</v>
      </c>
      <c r="D58" s="3">
        <f>SUMIFS('All Transactions'!$F$5:$F$436,'All Transactions'!$D$5:$D$436,$A58,'All Transactions'!$A$5:$A$436,D$4)</f>
        <v>0</v>
      </c>
      <c r="E58" s="3">
        <f>SUMIFS('All Transactions'!$F$5:$F$436,'All Transactions'!$D$5:$D$436,$A58,'All Transactions'!$A$5:$A$436,E$4)</f>
        <v>0</v>
      </c>
      <c r="F58" s="3">
        <f>SUM(B58:E58)</f>
        <v>0</v>
      </c>
      <c r="G58" s="3">
        <f>F58/4</f>
        <v>0.0</v>
      </c>
    </row>
    <row r="59">
      <c r="A59" s="7" t="inlineStr">
        <is>
          <t xml:space="preserve">Total Streaming</t>
        </is>
      </c>
      <c r="B59" s="6">
        <f>SUM(B51:B58)</f>
        <v>188.8</v>
      </c>
      <c r="C59" s="6">
        <f>SUM(C51:C58)</f>
        <v>201.6</v>
      </c>
      <c r="D59" s="6">
        <f>SUM(D51:D58)</f>
        <v>158.35</v>
      </c>
      <c r="E59" s="6">
        <f>SUM(E51:E58)</f>
        <v>188.98</v>
      </c>
      <c r="F59" s="6">
        <f>SUM(F51:F58)</f>
        <v>737.73</v>
      </c>
      <c r="G59" s="6">
        <f>F59/4</f>
        <v>184.4325</v>
      </c>
    </row>
    <row r="61">
      <c r="A61" s="5" t="inlineStr">
        <is>
          <t xml:space="preserve">Subscriptions</t>
        </is>
      </c>
    </row>
    <row r="62">
      <c r="A62" s="12" t="inlineStr">
        <is>
          <t xml:space="preserve">Software &amp; Online Subscriptions</t>
        </is>
      </c>
      <c r="B62" s="3">
        <f>SUMIFS('All Transactions'!$F$5:$F$436,'All Transactions'!$D$5:$D$436,$A62,'All Transactions'!$A$5:$A$436,B$4)</f>
        <v>141.73</v>
      </c>
      <c r="C62" s="3">
        <f>SUMIFS('All Transactions'!$F$5:$F$436,'All Transactions'!$D$5:$D$436,$A62,'All Transactions'!$A$5:$A$436,C$4)</f>
        <v>161.05</v>
      </c>
      <c r="D62" s="3">
        <f>SUMIFS('All Transactions'!$F$5:$F$436,'All Transactions'!$D$5:$D$436,$A62,'All Transactions'!$A$5:$A$436,D$4)</f>
        <v>65.98</v>
      </c>
      <c r="E62" s="3">
        <f>SUMIFS('All Transactions'!$F$5:$F$436,'All Transactions'!$D$5:$D$436,$A62,'All Transactions'!$A$5:$A$436,E$4)</f>
        <v>0</v>
      </c>
      <c r="F62" s="3">
        <f>SUM(B62:E62)</f>
        <v>368.76</v>
      </c>
      <c r="G62" s="3">
        <f>F62/4</f>
        <v>92.19</v>
      </c>
    </row>
    <row r="63">
      <c r="A63" s="7" t="inlineStr">
        <is>
          <t xml:space="preserve">Total Subscriptions</t>
        </is>
      </c>
      <c r="B63" s="6">
        <f>SUM(B62:B62)</f>
        <v>141.73</v>
      </c>
      <c r="C63" s="6">
        <f>SUM(C62:C62)</f>
        <v>161.05</v>
      </c>
      <c r="D63" s="6">
        <f>SUM(D62:D62)</f>
        <v>65.98</v>
      </c>
      <c r="E63" s="6">
        <f>SUM(E62:E62)</f>
        <v>0</v>
      </c>
      <c r="F63" s="6">
        <f>SUM(F62:F62)</f>
        <v>368.76</v>
      </c>
      <c r="G63" s="6">
        <f>F63/4</f>
        <v>92.19</v>
      </c>
    </row>
    <row r="65">
      <c r="A65" s="5" t="inlineStr">
        <is>
          <t xml:space="preserve">Health</t>
        </is>
      </c>
    </row>
    <row r="66">
      <c r="A66" s="12" t="inlineStr">
        <is>
          <t xml:space="preserve">Medical &amp; Pharmacy</t>
        </is>
      </c>
      <c r="B66" s="3">
        <f>SUMIFS('All Transactions'!$F$5:$F$436,'All Transactions'!$D$5:$D$436,$A66,'All Transactions'!$A$5:$A$436,B$4)</f>
        <v>160.07</v>
      </c>
      <c r="C66" s="3">
        <f>SUMIFS('All Transactions'!$F$5:$F$436,'All Transactions'!$D$5:$D$436,$A66,'All Transactions'!$A$5:$A$436,C$4)</f>
        <v>100.93</v>
      </c>
      <c r="D66" s="3">
        <f>SUMIFS('All Transactions'!$F$5:$F$436,'All Transactions'!$D$5:$D$436,$A66,'All Transactions'!$A$5:$A$436,D$4)</f>
        <v>850.9</v>
      </c>
      <c r="E66" s="3">
        <f>SUMIFS('All Transactions'!$F$5:$F$436,'All Transactions'!$D$5:$D$436,$A66,'All Transactions'!$A$5:$A$436,E$4)</f>
        <v>160.28</v>
      </c>
      <c r="F66" s="3">
        <f>SUM(B66:E66)</f>
        <v>1272.18</v>
      </c>
      <c r="G66" s="3">
        <f>F66/4</f>
        <v>318.045</v>
      </c>
    </row>
    <row r="67">
      <c r="A67" s="7" t="inlineStr">
        <is>
          <t xml:space="preserve">Total Health</t>
        </is>
      </c>
      <c r="B67" s="6">
        <f>SUM(B66:B66)</f>
        <v>160.07</v>
      </c>
      <c r="C67" s="6">
        <f>SUM(C66:C66)</f>
        <v>100.93</v>
      </c>
      <c r="D67" s="6">
        <f>SUM(D66:D66)</f>
        <v>850.9</v>
      </c>
      <c r="E67" s="6">
        <f>SUM(E66:E66)</f>
        <v>160.28</v>
      </c>
      <c r="F67" s="6">
        <f>SUM(F66:F66)</f>
        <v>1272.18</v>
      </c>
      <c r="G67" s="6">
        <f>F67/4</f>
        <v>318.045</v>
      </c>
    </row>
    <row r="69">
      <c r="A69" s="5" t="inlineStr">
        <is>
          <t xml:space="preserve">Personal</t>
        </is>
      </c>
    </row>
    <row r="70">
      <c r="A70" s="12" t="inlineStr">
        <is>
          <t xml:space="preserve">Haircuts – The Color Bar</t>
        </is>
      </c>
      <c r="B70" s="3">
        <f>SUMIFS('All Transactions'!$F$5:$F$436,'All Transactions'!$D$5:$D$436,$A70,'All Transactions'!$A$5:$A$436,B$4)</f>
        <v>182.5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182.5</v>
      </c>
      <c r="E70" s="3">
        <f>SUMIFS('All Transactions'!$F$5:$F$436,'All Transactions'!$D$5:$D$436,$A70,'All Transactions'!$A$5:$A$436,E$4)</f>
        <v>32.5</v>
      </c>
      <c r="F70" s="3">
        <f>SUM(B70:E70)</f>
        <v>397.5</v>
      </c>
      <c r="G70" s="3">
        <f>F70/4</f>
        <v>99.375</v>
      </c>
    </row>
    <row r="71">
      <c r="A71" s="12" t="inlineStr">
        <is>
          <t xml:space="preserve">Personal Care – Simple Beauty</t>
        </is>
      </c>
      <c r="B71" s="3">
        <f>SUMIFS('All Transactions'!$F$5:$F$436,'All Transactions'!$D$5:$D$436,$A71,'All Transactions'!$A$5:$A$436,B$4)</f>
        <v>0</v>
      </c>
      <c r="C71" s="3">
        <f>SUMIFS('All Transactions'!$F$5:$F$436,'All Transactions'!$D$5:$D$436,$A71,'All Transactions'!$A$5:$A$436,C$4)</f>
        <v>0</v>
      </c>
      <c r="D71" s="3">
        <f>SUMIFS('All Transactions'!$F$5:$F$436,'All Transactions'!$D$5:$D$436,$A71,'All Transactions'!$A$5:$A$436,D$4)</f>
        <v>0</v>
      </c>
      <c r="E71" s="3">
        <f>SUMIFS('All Transactions'!$F$5:$F$436,'All Transactions'!$D$5:$D$436,$A71,'All Transactions'!$A$5:$A$436,E$4)</f>
        <v>82.0</v>
      </c>
      <c r="F71" s="3">
        <f>SUM(B71:E71)</f>
        <v>82.0</v>
      </c>
      <c r="G71" s="3">
        <f>F71/4</f>
        <v>20.5</v>
      </c>
    </row>
    <row r="72">
      <c r="A72" s="7" t="inlineStr">
        <is>
          <t xml:space="preserve">Total Personal</t>
        </is>
      </c>
      <c r="B72" s="6">
        <f>SUM(B70:B71)</f>
        <v>182.5</v>
      </c>
      <c r="C72" s="6">
        <f>SUM(C70:C71)</f>
        <v>0</v>
      </c>
      <c r="D72" s="6">
        <f>SUM(D70:D71)</f>
        <v>182.5</v>
      </c>
      <c r="E72" s="6">
        <f>SUM(E70:E71)</f>
        <v>114.5</v>
      </c>
      <c r="F72" s="6">
        <f>SUM(F70:F71)</f>
        <v>479.5</v>
      </c>
      <c r="G72" s="6">
        <f>F72/4</f>
        <v>119.875</v>
      </c>
    </row>
    <row r="74">
      <c r="A74" s="5" t="inlineStr">
        <is>
          <t xml:space="preserve">Retail</t>
        </is>
      </c>
    </row>
    <row r="75">
      <c r="A75" s="12" t="inlineStr">
        <is>
          <t xml:space="preserve">Retail – Walmart</t>
        </is>
      </c>
      <c r="B75" s="3">
        <f>SUMIFS('All Transactions'!$F$5:$F$436,'All Transactions'!$D$5:$D$436,$A75,'All Transactions'!$A$5:$A$436,B$4)</f>
        <v>0</v>
      </c>
      <c r="C75" s="3">
        <f>SUMIFS('All Transactions'!$F$5:$F$436,'All Transactions'!$D$5:$D$436,$A75,'All Transactions'!$A$5:$A$436,C$4)</f>
        <v>132.66</v>
      </c>
      <c r="D75" s="3">
        <f>SUMIFS('All Transactions'!$F$5:$F$436,'All Transactions'!$D$5:$D$436,$A75,'All Transactions'!$A$5:$A$436,D$4)</f>
        <v>1732.6</v>
      </c>
      <c r="E75" s="3">
        <f>SUMIFS('All Transactions'!$F$5:$F$436,'All Transactions'!$D$5:$D$436,$A75,'All Transactions'!$A$5:$A$436,E$4)</f>
        <v>32.63</v>
      </c>
      <c r="F75" s="3">
        <f>SUM(B75:E75)</f>
        <v>1897.89</v>
      </c>
      <c r="G75" s="3">
        <f>F75/4</f>
        <v>474.4725</v>
      </c>
    </row>
    <row r="76">
      <c r="A76" s="12" t="inlineStr">
        <is>
          <t xml:space="preserve">Retail – Belk (store card payments)</t>
        </is>
      </c>
      <c r="B76" s="3">
        <f>SUMIFS('All Transactions'!$F$5:$F$436,'All Transactions'!$D$5:$D$436,$A76,'All Transactions'!$A$5:$A$436,B$4)</f>
        <v>386.69</v>
      </c>
      <c r="C76" s="3">
        <f>SUMIFS('All Transactions'!$F$5:$F$436,'All Transactions'!$D$5:$D$436,$A76,'All Transactions'!$A$5:$A$436,C$4)</f>
        <v>948.04</v>
      </c>
      <c r="D76" s="3">
        <f>SUMIFS('All Transactions'!$F$5:$F$436,'All Transactions'!$D$5:$D$436,$A76,'All Transactions'!$A$5:$A$436,D$4)</f>
        <v>0</v>
      </c>
      <c r="E76" s="3">
        <f>SUMIFS('All Transactions'!$F$5:$F$436,'All Transactions'!$D$5:$D$436,$A76,'All Transactions'!$A$5:$A$436,E$4)</f>
        <v>0</v>
      </c>
      <c r="F76" s="3">
        <f>SUM(B76:E76)</f>
        <v>1334.73</v>
      </c>
      <c r="G76" s="3">
        <f>F76/4</f>
        <v>333.6825</v>
      </c>
    </row>
    <row r="77">
      <c r="A77" s="12" t="inlineStr">
        <is>
          <t xml:space="preserve">Retail – Marshalls</t>
        </is>
      </c>
      <c r="B77" s="3">
        <f>SUMIFS('All Transactions'!$F$5:$F$436,'All Transactions'!$D$5:$D$436,$A77,'All Transactions'!$A$5:$A$436,B$4)</f>
        <v>0</v>
      </c>
      <c r="C77" s="3">
        <f>SUMIFS('All Transactions'!$F$5:$F$436,'All Transactions'!$D$5:$D$436,$A77,'All Transactions'!$A$5:$A$436,C$4)</f>
        <v>0</v>
      </c>
      <c r="D77" s="3">
        <f>SUMIFS('All Transactions'!$F$5:$F$436,'All Transactions'!$D$5:$D$436,$A77,'All Transactions'!$A$5:$A$436,D$4)</f>
        <v>0</v>
      </c>
      <c r="E77" s="3">
        <f>SUMIFS('All Transactions'!$F$5:$F$436,'All Transactions'!$D$5:$D$436,$A77,'All Transactions'!$A$5:$A$436,E$4)</f>
        <v>41.59</v>
      </c>
      <c r="F77" s="3">
        <f>SUM(B77:E77)</f>
        <v>41.59</v>
      </c>
      <c r="G77" s="3">
        <f>F77/4</f>
        <v>10.3975</v>
      </c>
    </row>
    <row r="78">
      <c r="A78" s="12" t="inlineStr">
        <is>
          <t xml:space="preserve">Retail – Ross</t>
        </is>
      </c>
      <c r="B78" s="3">
        <f>SUMIFS('All Transactions'!$F$5:$F$436,'All Transactions'!$D$5:$D$436,$A78,'All Transactions'!$A$5:$A$436,B$4)</f>
        <v>48.03</v>
      </c>
      <c r="C78" s="3">
        <f>SUMIFS('All Transactions'!$F$5:$F$436,'All Transactions'!$D$5:$D$436,$A78,'All Transactions'!$A$5:$A$436,C$4)</f>
        <v>0</v>
      </c>
      <c r="D78" s="3">
        <f>SUMIFS('All Transactions'!$F$5:$F$436,'All Transactions'!$D$5:$D$436,$A78,'All Transactions'!$A$5:$A$436,D$4)</f>
        <v>0</v>
      </c>
      <c r="E78" s="3">
        <f>SUMIFS('All Transactions'!$F$5:$F$436,'All Transactions'!$D$5:$D$436,$A78,'All Transactions'!$A$5:$A$436,E$4)</f>
        <v>16.32</v>
      </c>
      <c r="F78" s="3">
        <f>SUM(B78:E78)</f>
        <v>64.35</v>
      </c>
      <c r="G78" s="3">
        <f>F78/4</f>
        <v>16.0875</v>
      </c>
    </row>
    <row r="79">
      <c r="A79" s="12" t="inlineStr">
        <is>
          <t xml:space="preserve">Retail – Dillard's</t>
        </is>
      </c>
      <c r="B79" s="3">
        <f>SUMIFS('All Transactions'!$F$5:$F$436,'All Transactions'!$D$5:$D$436,$A79,'All Transactions'!$A$5:$A$436,B$4)</f>
        <v>0</v>
      </c>
      <c r="C79" s="3">
        <f>SUMIFS('All Transactions'!$F$5:$F$436,'All Transactions'!$D$5:$D$436,$A79,'All Transactions'!$A$5:$A$436,C$4)</f>
        <v>0</v>
      </c>
      <c r="D79" s="3">
        <f>SUMIFS('All Transactions'!$F$5:$F$436,'All Transactions'!$D$5:$D$436,$A79,'All Transactions'!$A$5:$A$436,D$4)</f>
        <v>174.74</v>
      </c>
      <c r="E79" s="3">
        <f>SUMIFS('All Transactions'!$F$5:$F$436,'All Transactions'!$D$5:$D$436,$A79,'All Transactions'!$A$5:$A$436,E$4)</f>
        <v>0</v>
      </c>
      <c r="F79" s="3">
        <f>SUM(B79:E79)</f>
        <v>174.74</v>
      </c>
      <c r="G79" s="3">
        <f>F79/4</f>
        <v>43.685</v>
      </c>
    </row>
    <row r="80">
      <c r="A80" s="12" t="inlineStr">
        <is>
          <t xml:space="preserve">Retail – Target</t>
        </is>
      </c>
      <c r="B80" s="3">
        <f>SUMIFS('All Transactions'!$F$5:$F$436,'All Transactions'!$D$5:$D$436,$A80,'All Transactions'!$A$5:$A$436,B$4)</f>
        <v>58.98</v>
      </c>
      <c r="C80" s="3">
        <f>SUMIFS('All Transactions'!$F$5:$F$436,'All Transactions'!$D$5:$D$436,$A80,'All Transactions'!$A$5:$A$436,C$4)</f>
        <v>0</v>
      </c>
      <c r="D80" s="3">
        <f>SUMIFS('All Transactions'!$F$5:$F$436,'All Transactions'!$D$5:$D$436,$A80,'All Transactions'!$A$5:$A$436,D$4)</f>
        <v>0</v>
      </c>
      <c r="E80" s="3">
        <f>SUMIFS('All Transactions'!$F$5:$F$436,'All Transactions'!$D$5:$D$436,$A80,'All Transactions'!$A$5:$A$436,E$4)</f>
        <v>0</v>
      </c>
      <c r="F80" s="3">
        <f>SUM(B80:E80)</f>
        <v>58.98</v>
      </c>
      <c r="G80" s="3">
        <f>F80/4</f>
        <v>14.745</v>
      </c>
    </row>
    <row r="81">
      <c r="A81" s="12" t="inlineStr">
        <is>
          <t xml:space="preserve">Retail – HomeSense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88.7</v>
      </c>
      <c r="E81" s="3">
        <f>SUMIFS('All Transactions'!$F$5:$F$436,'All Transactions'!$D$5:$D$436,$A81,'All Transactions'!$A$5:$A$436,E$4)</f>
        <v>0</v>
      </c>
      <c r="F81" s="3">
        <f>SUM(B81:E81)</f>
        <v>88.7</v>
      </c>
      <c r="G81" s="3">
        <f>F81/4</f>
        <v>22.175</v>
      </c>
    </row>
    <row r="82">
      <c r="A82" s="12" t="inlineStr">
        <is>
          <t xml:space="preserve">Retail – Hobby Lobby</t>
        </is>
      </c>
      <c r="B82" s="3">
        <f>SUMIFS('All Transactions'!$F$5:$F$436,'All Transactions'!$D$5:$D$436,$A82,'All Transactions'!$A$5:$A$436,B$4)</f>
        <v>0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165.67</v>
      </c>
      <c r="E82" s="3">
        <f>SUMIFS('All Transactions'!$F$5:$F$436,'All Transactions'!$D$5:$D$436,$A82,'All Transactions'!$A$5:$A$436,E$4)</f>
        <v>37.33</v>
      </c>
      <c r="F82" s="3">
        <f>SUM(B82:E82)</f>
        <v>203.0</v>
      </c>
      <c r="G82" s="3">
        <f>F82/4</f>
        <v>50.75</v>
      </c>
    </row>
    <row r="83">
      <c r="A83" s="12" t="inlineStr">
        <is>
          <t xml:space="preserve">Retail – Lowe's (home improvement)</t>
        </is>
      </c>
      <c r="B83" s="3">
        <f>SUMIFS('All Transactions'!$F$5:$F$436,'All Transactions'!$D$5:$D$436,$A83,'All Transactions'!$A$5:$A$436,B$4)</f>
        <v>27.67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171.55</v>
      </c>
      <c r="E83" s="3">
        <f>SUMIFS('All Transactions'!$F$5:$F$436,'All Transactions'!$D$5:$D$436,$A83,'All Transactions'!$A$5:$A$436,E$4)</f>
        <v>85.27</v>
      </c>
      <c r="F83" s="3">
        <f>SUM(B83:E83)</f>
        <v>284.49</v>
      </c>
      <c r="G83" s="3">
        <f>F83/4</f>
        <v>71.1225</v>
      </c>
    </row>
    <row r="84">
      <c r="A84" s="12" t="inlineStr">
        <is>
          <t xml:space="preserve">Retail – Cat on a Whisk</t>
        </is>
      </c>
      <c r="B84" s="3">
        <f>SUMIFS('All Transactions'!$F$5:$F$436,'All Transactions'!$D$5:$D$436,$A84,'All Transactions'!$A$5:$A$436,B$4)</f>
        <v>0</v>
      </c>
      <c r="C84" s="3">
        <f>SUMIFS('All Transactions'!$F$5:$F$436,'All Transactions'!$D$5:$D$436,$A84,'All Transactions'!$A$5:$A$436,C$4)</f>
        <v>0</v>
      </c>
      <c r="D84" s="3">
        <f>SUMIFS('All Transactions'!$F$5:$F$436,'All Transactions'!$D$5:$D$436,$A84,'All Transactions'!$A$5:$A$436,D$4)</f>
        <v>0</v>
      </c>
      <c r="E84" s="3">
        <f>SUMIFS('All Transactions'!$F$5:$F$436,'All Transactions'!$D$5:$D$436,$A84,'All Transactions'!$A$5:$A$436,E$4)</f>
        <v>24.51</v>
      </c>
      <c r="F84" s="3">
        <f>SUM(B84:E84)</f>
        <v>24.51</v>
      </c>
      <c r="G84" s="3">
        <f>F84/4</f>
        <v>6.1275</v>
      </c>
    </row>
    <row r="85">
      <c r="A85" s="12" t="inlineStr">
        <is>
          <t xml:space="preserve">Retail – Tractor Supply</t>
        </is>
      </c>
      <c r="B85" s="3">
        <f>SUMIFS('All Transactions'!$F$5:$F$436,'All Transactions'!$D$5:$D$436,$A85,'All Transactions'!$A$5:$A$436,B$4)</f>
        <v>0</v>
      </c>
      <c r="C85" s="3">
        <f>SUMIFS('All Transactions'!$F$5:$F$436,'All Transactions'!$D$5:$D$436,$A85,'All Transactions'!$A$5:$A$436,C$4)</f>
        <v>0</v>
      </c>
      <c r="D85" s="3">
        <f>SUMIFS('All Transactions'!$F$5:$F$436,'All Transactions'!$D$5:$D$436,$A85,'All Transactions'!$A$5:$A$436,D$4)</f>
        <v>29.86</v>
      </c>
      <c r="E85" s="3">
        <f>SUMIFS('All Transactions'!$F$5:$F$436,'All Transactions'!$D$5:$D$436,$A85,'All Transactions'!$A$5:$A$436,E$4)</f>
        <v>0</v>
      </c>
      <c r="F85" s="3">
        <f>SUM(B85:E85)</f>
        <v>29.86</v>
      </c>
      <c r="G85" s="3">
        <f>F85/4</f>
        <v>7.465</v>
      </c>
    </row>
    <row r="86">
      <c r="A86" s="12" t="inlineStr">
        <is>
          <t xml:space="preserve">Retail – Dick's Sporting Goods</t>
        </is>
      </c>
      <c r="B86" s="3">
        <f>SUMIFS('All Transactions'!$F$5:$F$436,'All Transactions'!$D$5:$D$436,$A86,'All Transactions'!$A$5:$A$436,B$4)</f>
        <v>0</v>
      </c>
      <c r="C86" s="3">
        <f>SUMIFS('All Transactions'!$F$5:$F$436,'All Transactions'!$D$5:$D$436,$A86,'All Transactions'!$A$5:$A$436,C$4)</f>
        <v>63.61</v>
      </c>
      <c r="D86" s="3">
        <f>SUMIFS('All Transactions'!$F$5:$F$436,'All Transactions'!$D$5:$D$436,$A86,'All Transactions'!$A$5:$A$436,D$4)</f>
        <v>0</v>
      </c>
      <c r="E86" s="3">
        <f>SUMIFS('All Transactions'!$F$5:$F$436,'All Transactions'!$D$5:$D$436,$A86,'All Transactions'!$A$5:$A$436,E$4)</f>
        <v>0</v>
      </c>
      <c r="F86" s="3">
        <f>SUM(B86:E86)</f>
        <v>63.61</v>
      </c>
      <c r="G86" s="3">
        <f>F86/4</f>
        <v>15.9025</v>
      </c>
    </row>
    <row r="87">
      <c r="A87" s="12" t="inlineStr">
        <is>
          <t xml:space="preserve">Retail – Ulta Beauty</t>
        </is>
      </c>
      <c r="B87" s="3">
        <f>SUMIFS('All Transactions'!$F$5:$F$436,'All Transactions'!$D$5:$D$436,$A87,'All Transactions'!$A$5:$A$436,B$4)</f>
        <v>134.71</v>
      </c>
      <c r="C87" s="3">
        <f>SUMIFS('All Transactions'!$F$5:$F$436,'All Transactions'!$D$5:$D$436,$A87,'All Transactions'!$A$5:$A$436,C$4)</f>
        <v>0</v>
      </c>
      <c r="D87" s="3">
        <f>SUMIFS('All Transactions'!$F$5:$F$436,'All Transactions'!$D$5:$D$436,$A87,'All Transactions'!$A$5:$A$436,D$4)</f>
        <v>0</v>
      </c>
      <c r="E87" s="3">
        <f>SUMIFS('All Transactions'!$F$5:$F$436,'All Transactions'!$D$5:$D$436,$A87,'All Transactions'!$A$5:$A$436,E$4)</f>
        <v>0</v>
      </c>
      <c r="F87" s="3">
        <f>SUM(B87:E87)</f>
        <v>134.71</v>
      </c>
      <c r="G87" s="3">
        <f>F87/4</f>
        <v>33.6775</v>
      </c>
    </row>
    <row r="88">
      <c r="A88" s="12" t="inlineStr">
        <is>
          <t xml:space="preserve">Retail – Bath &amp; Body Works</t>
        </is>
      </c>
      <c r="B88" s="3">
        <f>SUMIFS('All Transactions'!$F$5:$F$436,'All Transactions'!$D$5:$D$436,$A88,'All Transactions'!$A$5:$A$436,B$4)</f>
        <v>51.31</v>
      </c>
      <c r="C88" s="3">
        <f>SUMIFS('All Transactions'!$F$5:$F$436,'All Transactions'!$D$5:$D$436,$A88,'All Transactions'!$A$5:$A$436,C$4)</f>
        <v>0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0</v>
      </c>
      <c r="F88" s="3">
        <f>SUM(B88:E88)</f>
        <v>51.31</v>
      </c>
      <c r="G88" s="3">
        <f>F88/4</f>
        <v>12.8275</v>
      </c>
    </row>
    <row r="89">
      <c r="A89" s="12" t="inlineStr">
        <is>
          <t xml:space="preserve">Retail – Dollar Tree / Dollar General</t>
        </is>
      </c>
      <c r="B89" s="3">
        <f>SUMIFS('All Transactions'!$F$5:$F$436,'All Transactions'!$D$5:$D$436,$A89,'All Transactions'!$A$5:$A$436,B$4)</f>
        <v>0</v>
      </c>
      <c r="C89" s="3">
        <f>SUMIFS('All Transactions'!$F$5:$F$436,'All Transactions'!$D$5:$D$436,$A89,'All Transactions'!$A$5:$A$436,C$4)</f>
        <v>5.87</v>
      </c>
      <c r="D89" s="3">
        <f>SUMIFS('All Transactions'!$F$5:$F$436,'All Transactions'!$D$5:$D$436,$A89,'All Transactions'!$A$5:$A$436,D$4)</f>
        <v>17.35</v>
      </c>
      <c r="E89" s="3">
        <f>SUMIFS('All Transactions'!$F$5:$F$436,'All Transactions'!$D$5:$D$436,$A89,'All Transactions'!$A$5:$A$436,E$4)</f>
        <v>0</v>
      </c>
      <c r="F89" s="3">
        <f>SUM(B89:E89)</f>
        <v>23.22</v>
      </c>
      <c r="G89" s="3">
        <f>F89/4</f>
        <v>5.805</v>
      </c>
    </row>
    <row r="90">
      <c r="A90" s="12" t="inlineStr">
        <is>
          <t xml:space="preserve">Retail – Local shops (Hippie Chick, Southport Spices, Mad River, Coastal Carolina)</t>
        </is>
      </c>
      <c r="B90" s="3">
        <f>SUMIFS('All Transactions'!$F$5:$F$436,'All Transactions'!$D$5:$D$436,$A90,'All Transactions'!$A$5:$A$436,B$4)</f>
        <v>108.03</v>
      </c>
      <c r="C90" s="3">
        <f>SUMIFS('All Transactions'!$F$5:$F$436,'All Transactions'!$D$5:$D$436,$A90,'All Transactions'!$A$5:$A$436,C$4)</f>
        <v>0</v>
      </c>
      <c r="D90" s="3">
        <f>SUMIFS('All Transactions'!$F$5:$F$436,'All Transactions'!$D$5:$D$436,$A90,'All Transactions'!$A$5:$A$436,D$4)</f>
        <v>0</v>
      </c>
      <c r="E90" s="3">
        <f>SUMIFS('All Transactions'!$F$5:$F$436,'All Transactions'!$D$5:$D$436,$A90,'All Transactions'!$A$5:$A$436,E$4)</f>
        <v>119.97</v>
      </c>
      <c r="F90" s="3">
        <f>SUM(B90:E90)</f>
        <v>228.0</v>
      </c>
      <c r="G90" s="3">
        <f>F90/4</f>
        <v>57.0</v>
      </c>
    </row>
    <row r="91">
      <c r="A91" s="7" t="inlineStr">
        <is>
          <t xml:space="preserve">Total Retail</t>
        </is>
      </c>
      <c r="B91" s="6">
        <f>SUM(B75:B90)</f>
        <v>815.42</v>
      </c>
      <c r="C91" s="6">
        <f>SUM(C75:C90)</f>
        <v>1150.18</v>
      </c>
      <c r="D91" s="6">
        <f>SUM(D75:D90)</f>
        <v>2380.47</v>
      </c>
      <c r="E91" s="6">
        <f>SUM(E75:E90)</f>
        <v>357.62</v>
      </c>
      <c r="F91" s="6">
        <f>SUM(F75:F90)</f>
        <v>4703.69</v>
      </c>
      <c r="G91" s="6">
        <f>F91/4</f>
        <v>1175.9225</v>
      </c>
    </row>
    <row r="93">
      <c r="A93" s="5" t="inlineStr">
        <is>
          <t xml:space="preserve">Home</t>
        </is>
      </c>
    </row>
    <row r="94">
      <c r="A94" s="12" t="inlineStr">
        <is>
          <t xml:space="preserve">Yard Company (NextGen)</t>
        </is>
      </c>
      <c r="B94" s="3">
        <f>SUMIFS('All Transactions'!$F$5:$F$436,'All Transactions'!$D$5:$D$436,$A94,'All Transactions'!$A$5:$A$436,B$4)</f>
        <v>60.0</v>
      </c>
      <c r="C94" s="3">
        <f>SUMIFS('All Transactions'!$F$5:$F$436,'All Transactions'!$D$5:$D$436,$A94,'All Transactions'!$A$5:$A$436,C$4)</f>
        <v>100.0</v>
      </c>
      <c r="D94" s="3">
        <f>SUMIFS('All Transactions'!$F$5:$F$436,'All Transactions'!$D$5:$D$436,$A94,'All Transactions'!$A$5:$A$436,D$4)</f>
        <v>220.0</v>
      </c>
      <c r="E94" s="3">
        <f>SUMIFS('All Transactions'!$F$5:$F$436,'All Transactions'!$D$5:$D$436,$A94,'All Transactions'!$A$5:$A$436,E$4)</f>
        <v>120.0</v>
      </c>
      <c r="F94" s="3">
        <f>SUM(B94:E94)</f>
        <v>500.0</v>
      </c>
      <c r="G94" s="3">
        <f>F94/4</f>
        <v>125.0</v>
      </c>
    </row>
    <row r="95">
      <c r="A95" s="12" t="inlineStr">
        <is>
          <t xml:space="preserve">Home Services (Cleaning, Pest, Lawn)</t>
        </is>
      </c>
      <c r="B95" s="3">
        <f>SUMIFS('All Transactions'!$F$5:$F$436,'All Transactions'!$D$5:$D$436,$A95,'All Transactions'!$A$5:$A$436,B$4)</f>
        <v>0</v>
      </c>
      <c r="C95" s="3">
        <f>SUMIFS('All Transactions'!$F$5:$F$436,'All Transactions'!$D$5:$D$436,$A95,'All Transactions'!$A$5:$A$436,C$4)</f>
        <v>242.05</v>
      </c>
      <c r="D95" s="3">
        <f>SUMIFS('All Transactions'!$F$5:$F$436,'All Transactions'!$D$5:$D$436,$A95,'All Transactions'!$A$5:$A$436,D$4)</f>
        <v>536.6</v>
      </c>
      <c r="E95" s="3">
        <f>SUMIFS('All Transactions'!$F$5:$F$436,'All Transactions'!$D$5:$D$436,$A95,'All Transactions'!$A$5:$A$436,E$4)</f>
        <v>0</v>
      </c>
      <c r="F95" s="3">
        <f>SUM(B95:E95)</f>
        <v>778.65</v>
      </c>
      <c r="G95" s="3">
        <f>F95/4</f>
        <v>194.6625</v>
      </c>
    </row>
    <row r="96">
      <c r="A96" s="7" t="inlineStr">
        <is>
          <t xml:space="preserve">Total Home</t>
        </is>
      </c>
      <c r="B96" s="6">
        <f>SUM(B94:B95)</f>
        <v>60.0</v>
      </c>
      <c r="C96" s="6">
        <f>SUM(C94:C95)</f>
        <v>342.05</v>
      </c>
      <c r="D96" s="6">
        <f>SUM(D94:D95)</f>
        <v>756.6</v>
      </c>
      <c r="E96" s="6">
        <f>SUM(E94:E95)</f>
        <v>120.0</v>
      </c>
      <c r="F96" s="6">
        <f>SUM(F94:F95)</f>
        <v>1278.65</v>
      </c>
      <c r="G96" s="6">
        <f>F96/4</f>
        <v>319.6625</v>
      </c>
    </row>
    <row r="98">
      <c r="A98" s="5" t="inlineStr">
        <is>
          <t xml:space="preserve">Travel</t>
        </is>
      </c>
    </row>
    <row r="99">
      <c r="A99" s="12" t="inlineStr">
        <is>
          <t xml:space="preserve">Travel (Lyft, Hotel)</t>
        </is>
      </c>
      <c r="B99" s="3">
        <f>SUMIFS('All Transactions'!$F$5:$F$436,'All Transactions'!$D$5:$D$436,$A99,'All Transactions'!$A$5:$A$436,B$4)</f>
        <v>102.65</v>
      </c>
      <c r="C99" s="3">
        <f>SUMIFS('All Transactions'!$F$5:$F$436,'All Transactions'!$D$5:$D$436,$A99,'All Transactions'!$A$5:$A$436,C$4)</f>
        <v>0</v>
      </c>
      <c r="D99" s="3">
        <f>SUMIFS('All Transactions'!$F$5:$F$436,'All Transactions'!$D$5:$D$436,$A99,'All Transactions'!$A$5:$A$436,D$4)</f>
        <v>0</v>
      </c>
      <c r="E99" s="3">
        <f>SUMIFS('All Transactions'!$F$5:$F$436,'All Transactions'!$D$5:$D$436,$A99,'All Transactions'!$A$5:$A$436,E$4)</f>
        <v>0</v>
      </c>
      <c r="F99" s="3">
        <f>SUM(B99:E99)</f>
        <v>102.65</v>
      </c>
      <c r="G99" s="3">
        <f>F99/4</f>
        <v>25.6625</v>
      </c>
    </row>
    <row r="100">
      <c r="A100" s="7" t="inlineStr">
        <is>
          <t xml:space="preserve">Total Travel</t>
        </is>
      </c>
      <c r="B100" s="6">
        <f>SUM(B99:B99)</f>
        <v>102.65</v>
      </c>
      <c r="C100" s="6">
        <f>SUM(C99:C99)</f>
        <v>0</v>
      </c>
      <c r="D100" s="6">
        <f>SUM(D99:D99)</f>
        <v>0</v>
      </c>
      <c r="E100" s="6">
        <f>SUM(E99:E99)</f>
        <v>0</v>
      </c>
      <c r="F100" s="6">
        <f>SUM(F99:F99)</f>
        <v>102.65</v>
      </c>
      <c r="G100" s="6">
        <f>F100/4</f>
        <v>25.6625</v>
      </c>
    </row>
    <row r="102">
      <c r="A102" s="5" t="inlineStr">
        <is>
          <t xml:space="preserve">Recreation</t>
        </is>
      </c>
    </row>
    <row r="103">
      <c r="A103" s="12" t="inlineStr">
        <is>
          <t xml:space="preserve">St. James Marina</t>
        </is>
      </c>
      <c r="B103" s="3">
        <f>SUMIFS('All Transactions'!$F$5:$F$436,'All Transactions'!$D$5:$D$436,$A103,'All Transactions'!$A$5:$A$436,B$4)</f>
        <v>0</v>
      </c>
      <c r="C103" s="3">
        <f>SUMIFS('All Transactions'!$F$5:$F$436,'All Transactions'!$D$5:$D$436,$A103,'All Transactions'!$A$5:$A$436,C$4)</f>
        <v>33.54</v>
      </c>
      <c r="D103" s="3">
        <f>SUMIFS('All Transactions'!$F$5:$F$436,'All Transactions'!$D$5:$D$436,$A103,'All Transactions'!$A$5:$A$436,D$4)</f>
        <v>0</v>
      </c>
      <c r="E103" s="3">
        <f>SUMIFS('All Transactions'!$F$5:$F$436,'All Transactions'!$D$5:$D$436,$A103,'All Transactions'!$A$5:$A$436,E$4)</f>
        <v>0</v>
      </c>
      <c r="F103" s="3">
        <f>SUM(B103:E103)</f>
        <v>33.54</v>
      </c>
      <c r="G103" s="3">
        <f>F103/4</f>
        <v>8.385</v>
      </c>
    </row>
    <row r="104">
      <c r="A104" s="12" t="inlineStr">
        <is>
          <t xml:space="preserve">Entertainment &amp; Events</t>
        </is>
      </c>
      <c r="B104" s="3">
        <f>SUMIFS('All Transactions'!$F$5:$F$436,'All Transactions'!$D$5:$D$436,$A104,'All Transactions'!$A$5:$A$436,B$4)</f>
        <v>0</v>
      </c>
      <c r="C104" s="3">
        <f>SUMIFS('All Transactions'!$F$5:$F$436,'All Transactions'!$D$5:$D$436,$A104,'All Transactions'!$A$5:$A$436,C$4)</f>
        <v>400.0</v>
      </c>
      <c r="D104" s="3">
        <f>SUMIFS('All Transactions'!$F$5:$F$436,'All Transactions'!$D$5:$D$436,$A104,'All Transactions'!$A$5:$A$436,D$4)</f>
        <v>13.5</v>
      </c>
      <c r="E104" s="3">
        <f>SUMIFS('All Transactions'!$F$5:$F$436,'All Transactions'!$D$5:$D$436,$A104,'All Transactions'!$A$5:$A$436,E$4)</f>
        <v>0</v>
      </c>
      <c r="F104" s="3">
        <f>SUM(B104:E104)</f>
        <v>413.5</v>
      </c>
      <c r="G104" s="3">
        <f>F104/4</f>
        <v>103.375</v>
      </c>
    </row>
    <row r="105">
      <c r="A105" s="7" t="inlineStr">
        <is>
          <t xml:space="preserve">Total Recreation</t>
        </is>
      </c>
      <c r="B105" s="6">
        <f>SUM(B103:B104)</f>
        <v>0</v>
      </c>
      <c r="C105" s="6">
        <f>SUM(C103:C104)</f>
        <v>433.54</v>
      </c>
      <c r="D105" s="6">
        <f>SUM(D103:D104)</f>
        <v>13.5</v>
      </c>
      <c r="E105" s="6">
        <f>SUM(E103:E104)</f>
        <v>0</v>
      </c>
      <c r="F105" s="6">
        <f>SUM(F103:F104)</f>
        <v>447.04</v>
      </c>
      <c r="G105" s="6">
        <f>F105/4</f>
        <v>111.76</v>
      </c>
    </row>
    <row r="107">
      <c r="A107" s="5" t="inlineStr">
        <is>
          <t xml:space="preserve">Transfers</t>
        </is>
      </c>
    </row>
    <row r="108">
      <c r="A108" s="12" t="inlineStr">
        <is>
          <t xml:space="preserve">Transfers to People (Venmo/Zelle)</t>
        </is>
      </c>
      <c r="B108" s="3">
        <f>SUMIFS('All Transactions'!$F$5:$F$436,'All Transactions'!$D$5:$D$436,$A108,'All Transactions'!$A$5:$A$436,B$4)</f>
        <v>75.0</v>
      </c>
      <c r="C108" s="3">
        <f>SUMIFS('All Transactions'!$F$5:$F$436,'All Transactions'!$D$5:$D$436,$A108,'All Transactions'!$A$5:$A$436,C$4)</f>
        <v>764.05</v>
      </c>
      <c r="D108" s="3">
        <f>SUMIFS('All Transactions'!$F$5:$F$436,'All Transactions'!$D$5:$D$436,$A108,'All Transactions'!$A$5:$A$436,D$4)</f>
        <v>331.5</v>
      </c>
      <c r="E108" s="3">
        <f>SUMIFS('All Transactions'!$F$5:$F$436,'All Transactions'!$D$5:$D$436,$A108,'All Transactions'!$A$5:$A$436,E$4)</f>
        <v>130.0</v>
      </c>
      <c r="F108" s="3">
        <f>SUM(B108:E108)</f>
        <v>1300.55</v>
      </c>
      <c r="G108" s="3">
        <f>F108/4</f>
        <v>325.1375</v>
      </c>
    </row>
    <row r="109">
      <c r="A109" s="7" t="inlineStr">
        <is>
          <t xml:space="preserve">Total Transfers</t>
        </is>
      </c>
      <c r="B109" s="6">
        <f>SUM(B108:B108)</f>
        <v>75.0</v>
      </c>
      <c r="C109" s="6">
        <f>SUM(C108:C108)</f>
        <v>764.05</v>
      </c>
      <c r="D109" s="6">
        <f>SUM(D108:D108)</f>
        <v>331.5</v>
      </c>
      <c r="E109" s="6">
        <f>SUM(E108:E108)</f>
        <v>130.0</v>
      </c>
      <c r="F109" s="6">
        <f>SUM(F108:F108)</f>
        <v>1300.55</v>
      </c>
      <c r="G109" s="6">
        <f>F109/4</f>
        <v>325.1375</v>
      </c>
    </row>
    <row r="111">
      <c r="A111" s="5" t="inlineStr">
        <is>
          <t xml:space="preserve">Other</t>
        </is>
      </c>
    </row>
    <row r="112">
      <c r="A112" s="12" t="inlineStr">
        <is>
          <t xml:space="preserve">Donations &amp; Clubs (Kiwanis)</t>
        </is>
      </c>
      <c r="B112" s="3">
        <f>SUMIFS('All Transactions'!$F$5:$F$436,'All Transactions'!$D$5:$D$436,$A112,'All Transactions'!$A$5:$A$436,B$4)</f>
        <v>0</v>
      </c>
      <c r="C112" s="3">
        <f>SUMIFS('All Transactions'!$F$5:$F$436,'All Transactions'!$D$5:$D$436,$A112,'All Transactions'!$A$5:$A$436,C$4)</f>
        <v>0</v>
      </c>
      <c r="D112" s="3">
        <f>SUMIFS('All Transactions'!$F$5:$F$436,'All Transactions'!$D$5:$D$436,$A112,'All Transactions'!$A$5:$A$436,D$4)</f>
        <v>0</v>
      </c>
      <c r="E112" s="3">
        <f>SUMIFS('All Transactions'!$F$5:$F$436,'All Transactions'!$D$5:$D$436,$A112,'All Transactions'!$A$5:$A$436,E$4)</f>
        <v>200.0</v>
      </c>
      <c r="F112" s="3">
        <f>SUM(B112:E112)</f>
        <v>200.0</v>
      </c>
      <c r="G112" s="3">
        <f>F112/4</f>
        <v>50.0</v>
      </c>
    </row>
    <row r="113">
      <c r="A113" s="12" t="inlineStr">
        <is>
          <t xml:space="preserve">Cash (ATM) &amp; Bank Fees</t>
        </is>
      </c>
      <c r="B113" s="3">
        <f>SUMIFS('All Transactions'!$F$5:$F$436,'All Transactions'!$D$5:$D$436,$A113,'All Transactions'!$A$5:$A$436,B$4)</f>
        <v>0</v>
      </c>
      <c r="C113" s="3">
        <f>SUMIFS('All Transactions'!$F$5:$F$436,'All Transactions'!$D$5:$D$436,$A113,'All Transactions'!$A$5:$A$436,C$4)</f>
        <v>0</v>
      </c>
      <c r="D113" s="3">
        <f>SUMIFS('All Transactions'!$F$5:$F$436,'All Transactions'!$D$5:$D$436,$A113,'All Transactions'!$A$5:$A$436,D$4)</f>
        <v>0</v>
      </c>
      <c r="E113" s="3">
        <f>SUMIFS('All Transactions'!$F$5:$F$436,'All Transactions'!$D$5:$D$436,$A113,'All Transactions'!$A$5:$A$436,E$4)</f>
        <v>147.0</v>
      </c>
      <c r="F113" s="3">
        <f>SUM(B113:E113)</f>
        <v>147.0</v>
      </c>
      <c r="G113" s="3">
        <f>F113/4</f>
        <v>36.75</v>
      </c>
    </row>
    <row r="114">
      <c r="A114" s="7" t="inlineStr">
        <is>
          <t xml:space="preserve">Total Other</t>
        </is>
      </c>
      <c r="B114" s="6">
        <f>SUM(B112:B113)</f>
        <v>0</v>
      </c>
      <c r="C114" s="6">
        <f>SUM(C112:C113)</f>
        <v>0</v>
      </c>
      <c r="D114" s="6">
        <f>SUM(D112:D113)</f>
        <v>0</v>
      </c>
      <c r="E114" s="6">
        <f>SUM(E112:E113)</f>
        <v>347.0</v>
      </c>
      <c r="F114" s="6">
        <f>SUM(F112:F113)</f>
        <v>347.0</v>
      </c>
      <c r="G114" s="6">
        <f>F114/4</f>
        <v>86.75</v>
      </c>
    </row>
    <row r="116">
      <c r="A116" s="8" t="inlineStr">
        <is>
          <t xml:space="preserve">TOTAL SPENDING</t>
        </is>
      </c>
      <c r="B116" s="9">
        <f>B10+B18+B23+B28+B32+B38+B43+B48+B59+B63+B67+B72+B91+B96+B100+B105+B109+B114</f>
        <v>12135.81</v>
      </c>
      <c r="C116" s="9">
        <f>C10+C18+C23+C28+C32+C38+C43+C48+C59+C63+C67+C72+C91+C96+C100+C105+C109+C114</f>
        <v>12663.24</v>
      </c>
      <c r="D116" s="9">
        <f>D10+D18+D23+D28+D32+D38+D43+D48+D59+D63+D67+D72+D91+D96+D100+D105+D109+D114</f>
        <v>15086.64</v>
      </c>
      <c r="E116" s="9">
        <f>E10+E18+E23+E28+E32+E38+E43+E48+E59+E63+E67+E72+E91+E96+E100+E105+E109+E114</f>
        <v>11515.63</v>
      </c>
      <c r="F116" s="9">
        <f>F10+F18+F23+F28+F32+F38+F43+F48+F59+F63+F67+F72+F91+F96+F100+F105+F109+F114</f>
        <v>51401.32</v>
      </c>
      <c r="G116" s="9">
        <f>F116/4</f>
        <v>12850.33</v>
      </c>
    </row>
    <row r="118">
      <c r="A118" s="5" t="inlineStr">
        <is>
          <t xml:space="preserve">Not counted as spending</t>
        </is>
      </c>
    </row>
    <row r="119">
      <c r="A119" s="12" t="inlineStr">
        <is>
          <t xml:space="preserve">WTW Health Premium (reimbursed by Via Benefits)</t>
        </is>
      </c>
      <c r="B119" s="3">
        <f>SUMIFS('All Transactions'!$F$5:$F$436,'All Transactions'!$D$5:$D$436,$A119,'All Transactions'!$A$5:$A$436,B$4)</f>
        <v>2576.0</v>
      </c>
      <c r="C119" s="3">
        <f>SUMIFS('All Transactions'!$F$5:$F$436,'All Transactions'!$D$5:$D$436,$A119,'All Transactions'!$A$5:$A$436,C$4)</f>
        <v>2576.0</v>
      </c>
      <c r="D119" s="3">
        <f>SUMIFS('All Transactions'!$F$5:$F$436,'All Transactions'!$D$5:$D$436,$A119,'All Transactions'!$A$5:$A$436,D$4)</f>
        <v>2576.0</v>
      </c>
      <c r="E119" s="3">
        <f>SUMIFS('All Transactions'!$F$5:$F$436,'All Transactions'!$D$5:$D$436,$A119,'All Transactions'!$A$5:$A$436,E$4)</f>
        <v>2576.0</v>
      </c>
      <c r="F119" s="3">
        <f>SUM(B119:E119)</f>
        <v>10304.0</v>
      </c>
      <c r="G119" s="3">
        <f>F119/4</f>
        <v>2576.0</v>
      </c>
    </row>
    <row r="120">
      <c r="A120" s="12" t="inlineStr">
        <is>
          <t xml:space="preserve">Credit Card Payoff – American Express</t>
        </is>
      </c>
      <c r="B120" s="3">
        <f>SUMIFS('All Transactions'!$F$5:$F$436,'All Transactions'!$D$5:$D$436,$A120,'All Transactions'!$A$5:$A$436,B$4)</f>
        <v>0</v>
      </c>
      <c r="C120" s="3">
        <f>SUMIFS('All Transactions'!$F$5:$F$436,'All Transactions'!$D$5:$D$436,$A120,'All Transactions'!$A$5:$A$436,C$4)</f>
        <v>7227.09</v>
      </c>
      <c r="D120" s="3">
        <f>SUMIFS('All Transactions'!$F$5:$F$436,'All Transactions'!$D$5:$D$436,$A120,'All Transactions'!$A$5:$A$436,D$4)</f>
        <v>4593.08</v>
      </c>
      <c r="E120" s="3">
        <f>SUMIFS('All Transactions'!$F$5:$F$436,'All Transactions'!$D$5:$D$436,$A120,'All Transactions'!$A$5:$A$436,E$4)</f>
        <v>4738.51</v>
      </c>
      <c r="F120" s="3">
        <f>SUM(B120:E120)</f>
        <v>16558.68</v>
      </c>
      <c r="G120" s="3">
        <f>F120/4</f>
        <v>4139.67</v>
      </c>
    </row>
    <row r="121">
      <c r="A121" s="12" t="inlineStr">
        <is>
          <t xml:space="preserve">Sloane Realty</t>
        </is>
      </c>
      <c r="B121" s="3">
        <f>SUMIFS('All Transactions'!$F$5:$F$436,'All Transactions'!$D$5:$D$436,$A121,'All Transactions'!$A$5:$A$436,B$4)</f>
        <v>0</v>
      </c>
      <c r="C121" s="3">
        <f>SUMIFS('All Transactions'!$F$5:$F$436,'All Transactions'!$D$5:$D$436,$A121,'All Transactions'!$A$5:$A$436,C$4)</f>
        <v>2891.98</v>
      </c>
      <c r="D121" s="3">
        <f>SUMIFS('All Transactions'!$F$5:$F$436,'All Transactions'!$D$5:$D$436,$A121,'All Transactions'!$A$5:$A$436,D$4)</f>
        <v>0</v>
      </c>
      <c r="E121" s="3">
        <f>SUMIFS('All Transactions'!$F$5:$F$436,'All Transactions'!$D$5:$D$436,$A121,'All Transactions'!$A$5:$A$436,E$4)</f>
        <v>0</v>
      </c>
      <c r="F121" s="3">
        <f>SUM(B121:E121)</f>
        <v>2891.98</v>
      </c>
      <c r="G121" s="3">
        <f>F121/4</f>
        <v>722.995</v>
      </c>
    </row>
    <row r="122">
      <c r="A122" s="12" t="inlineStr">
        <is>
          <t xml:space="preserve">Checks Written (payee not shown)</t>
        </is>
      </c>
      <c r="B122" s="3">
        <f>SUMIFS('All Transactions'!$F$5:$F$436,'All Transactions'!$D$5:$D$436,$A122,'All Transactions'!$A$5:$A$436,B$4)</f>
        <v>2630.0</v>
      </c>
      <c r="C122" s="3">
        <f>SUMIFS('All Transactions'!$F$5:$F$436,'All Transactions'!$D$5:$D$436,$A122,'All Transactions'!$A$5:$A$436,C$4)</f>
        <v>0</v>
      </c>
      <c r="D122" s="3">
        <f>SUMIFS('All Transactions'!$F$5:$F$436,'All Transactions'!$D$5:$D$436,$A122,'All Transactions'!$A$5:$A$436,D$4)</f>
        <v>728.0</v>
      </c>
      <c r="E122" s="3">
        <f>SUMIFS('All Transactions'!$F$5:$F$436,'All Transactions'!$D$5:$D$436,$A122,'All Transactions'!$A$5:$A$436,E$4)</f>
        <v>0</v>
      </c>
      <c r="F122" s="3">
        <f>SUM(B122:E122)</f>
        <v>3358.0</v>
      </c>
      <c r="G122" s="3">
        <f>F122/4</f>
        <v>839.5</v>
      </c>
    </row>
    <row r="123">
      <c r="A123" s="12" t="inlineStr">
        <is>
          <t xml:space="preserve">Transfer to Own WF Account</t>
        </is>
      </c>
      <c r="B123" s="3">
        <f>SUMIFS('All Transactions'!$F$5:$F$436,'All Transactions'!$D$5:$D$436,$A123,'All Transactions'!$A$5:$A$436,B$4)</f>
        <v>0</v>
      </c>
      <c r="C123" s="3">
        <f>SUMIFS('All Transactions'!$F$5:$F$436,'All Transactions'!$D$5:$D$436,$A123,'All Transactions'!$A$5:$A$436,C$4)</f>
        <v>3.26</v>
      </c>
      <c r="D123" s="3">
        <f>SUMIFS('All Transactions'!$F$5:$F$436,'All Transactions'!$D$5:$D$436,$A123,'All Transactions'!$A$5:$A$436,D$4)</f>
        <v>0</v>
      </c>
      <c r="E123" s="3">
        <f>SUMIFS('All Transactions'!$F$5:$F$436,'All Transactions'!$D$5:$D$436,$A123,'All Transactions'!$A$5:$A$436,E$4)</f>
        <v>0</v>
      </c>
      <c r="F123" s="3">
        <f>SUM(B123:E123)</f>
        <v>3.26</v>
      </c>
      <c r="G123" s="3">
        <f>F123/4</f>
        <v>0.815</v>
      </c>
    </row>
    <row r="124">
      <c r="A124" s="7" t="inlineStr">
        <is>
          <t xml:space="preserve">Total not counted as spending</t>
        </is>
      </c>
      <c r="B124" s="6">
        <f>SUM(B119:B123)</f>
        <v>5206.0</v>
      </c>
      <c r="C124" s="6">
        <f>SUM(C119:C123)</f>
        <v>12698.33</v>
      </c>
      <c r="D124" s="6">
        <f>SUM(D119:D123)</f>
        <v>7897.08</v>
      </c>
      <c r="E124" s="6">
        <f>SUM(E119:E123)</f>
        <v>7314.51</v>
      </c>
      <c r="F124" s="6">
        <f>SUM(F119:F123)</f>
        <v>33115.92</v>
      </c>
      <c r="G124" s="6">
        <f>F124/4</f>
        <v>8278.98</v>
      </c>
    </row>
    <row r="126">
      <c r="A126" s="12" t="inlineStr">
        <is>
          <t xml:space="preserve">Check: spending + not-counted items</t>
        </is>
      </c>
      <c r="B126" s="3">
        <f>B116+B124</f>
        <v>17341.81</v>
      </c>
      <c r="C126" s="3">
        <f>C116+C124</f>
        <v>25361.57</v>
      </c>
      <c r="D126" s="3">
        <f>D116+D124</f>
        <v>22983.72</v>
      </c>
      <c r="E126" s="3">
        <f>E116+E124</f>
        <v>18830.14</v>
      </c>
      <c r="F126" s="3">
        <f>F116+F124</f>
        <v>84517.24</v>
      </c>
    </row>
    <row r="127">
      <c r="A127" s="12" t="inlineStr">
        <is>
          <t xml:space="preserve">Withdrawals/Subtractions per bank statement</t>
        </is>
      </c>
      <c r="B127" s="13">
        <v>17341.81</v>
      </c>
      <c r="C127" s="13">
        <v>25361.57</v>
      </c>
      <c r="D127" s="13">
        <v>22983.72</v>
      </c>
      <c r="E127" s="13">
        <v>18830.14</v>
      </c>
      <c r="F127" s="3">
        <f>SUM(B127:E127)</f>
        <v>84517.24</v>
      </c>
    </row>
    <row r="128">
      <c r="A128" s="12" t="inlineStr">
        <is>
          <t xml:space="preserve">Difference (should be $0 = every dollar accounted for)</t>
        </is>
      </c>
      <c r="B128" s="3">
        <f>B126-B127</f>
        <v>0.0</v>
      </c>
      <c r="C128" s="3">
        <f>C126-C127</f>
        <v>0.0</v>
      </c>
      <c r="D128" s="3">
        <f>D126-D127</f>
        <v>0.0</v>
      </c>
      <c r="E128" s="3">
        <f>E126-E127</f>
        <v>0.0</v>
      </c>
      <c r="F128" s="3">
        <f>F126-F127</f>
        <v>0.0</v>
      </c>
    </row>
    <row r="130">
      <c r="A130" s="5" t="inlineStr">
        <is>
          <t xml:space="preserve">Key Bills at a Glance</t>
        </is>
      </c>
    </row>
    <row r="131">
      <c r="A131" s="15" t="inlineStr">
        <is>
          <t xml:space="preserve">Bill</t>
        </is>
      </c>
      <c r="B131" s="1" t="inlineStr">
        <is>
          <t xml:space="preserve">June 2026</t>
        </is>
      </c>
      <c r="C131" s="1" t="inlineStr">
        <is>
          <t xml:space="preserve">July 2026</t>
        </is>
      </c>
      <c r="D131" s="1" t="inlineStr">
        <is>
          <t xml:space="preserve">August 2026</t>
        </is>
      </c>
      <c r="E131" s="1" t="inlineStr">
        <is>
          <t xml:space="preserve">September 2026</t>
        </is>
      </c>
      <c r="F131" s="1" t="inlineStr">
        <is>
          <t xml:space="preserve">4-Month Total</t>
        </is>
      </c>
      <c r="G131" s="1" t="inlineStr">
        <is>
          <t xml:space="preserve">Monthly Avg</t>
        </is>
      </c>
    </row>
    <row r="132">
      <c r="A132" s="12" t="inlineStr">
        <is>
          <t xml:space="preserve">A&amp;D Mortgage</t>
        </is>
      </c>
      <c r="B132" s="3">
        <f>SUMIFS('All Transactions'!$F$5:$F$436,'All Transactions'!$D$5:$D$436,$A132,'All Transactions'!$A$5:$A$436,B$4)</f>
        <v>3411.1</v>
      </c>
      <c r="C132" s="3">
        <f>SUMIFS('All Transactions'!$F$5:$F$436,'All Transactions'!$D$5:$D$436,$A132,'All Transactions'!$A$5:$A$436,C$4)</f>
        <v>3411.1</v>
      </c>
      <c r="D132" s="3">
        <f>SUMIFS('All Transactions'!$F$5:$F$436,'All Transactions'!$D$5:$D$436,$A132,'All Transactions'!$A$5:$A$436,D$4)</f>
        <v>3411.1</v>
      </c>
      <c r="E132" s="3">
        <f>SUMIFS('All Transactions'!$F$5:$F$436,'All Transactions'!$D$5:$D$436,$A132,'All Transactions'!$A$5:$A$436,E$4)</f>
        <v>3411.1</v>
      </c>
      <c r="F132" s="3">
        <f>SUM(B132:E132)</f>
        <v>13644.4</v>
      </c>
      <c r="G132" s="3">
        <f>F132/4</f>
        <v>3411.1</v>
      </c>
    </row>
    <row r="133">
      <c r="A133" s="12" t="inlineStr">
        <is>
          <t xml:space="preserve">St. James Membership (Club)</t>
        </is>
      </c>
      <c r="B133" s="3">
        <f>SUMIFS('All Transactions'!$F$5:$F$436,'All Transactions'!$D$5:$D$436,$A133,'All Transactions'!$A$5:$A$436,B$4)</f>
        <v>1591.78</v>
      </c>
      <c r="C133" s="3">
        <f>SUMIFS('All Transactions'!$F$5:$F$436,'All Transactions'!$D$5:$D$436,$A133,'All Transactions'!$A$5:$A$436,C$4)</f>
        <v>1601.56</v>
      </c>
      <c r="D133" s="3">
        <f>SUMIFS('All Transactions'!$F$5:$F$436,'All Transactions'!$D$5:$D$436,$A133,'All Transactions'!$A$5:$A$436,D$4)</f>
        <v>1492.11</v>
      </c>
      <c r="E133" s="3">
        <f>SUMIFS('All Transactions'!$F$5:$F$436,'All Transactions'!$D$5:$D$436,$A133,'All Transactions'!$A$5:$A$436,E$4)</f>
        <v>1767.0</v>
      </c>
      <c r="F133" s="3">
        <f>SUM(B133:E133)</f>
        <v>6452.45</v>
      </c>
      <c r="G133" s="3">
        <f>F133/4</f>
        <v>1613.1125</v>
      </c>
    </row>
    <row r="134">
      <c r="A134" s="12" t="inlineStr">
        <is>
          <t xml:space="preserve">St. James Plantation POA Dues</t>
        </is>
      </c>
      <c r="B134" s="3">
        <f>SUMIFS('All Transactions'!$F$5:$F$436,'All Transactions'!$D$5:$D$436,$A134,'All Transactions'!$A$5:$A$436,B$4)</f>
        <v>692.95</v>
      </c>
      <c r="C134" s="3">
        <f>SUMIFS('All Transactions'!$F$5:$F$436,'All Transactions'!$D$5:$D$436,$A134,'All Transactions'!$A$5:$A$436,C$4)</f>
        <v>0</v>
      </c>
      <c r="D134" s="3">
        <f>SUMIFS('All Transactions'!$F$5:$F$436,'All Transactions'!$D$5:$D$436,$A134,'All Transactions'!$A$5:$A$436,D$4)</f>
        <v>0</v>
      </c>
      <c r="E134" s="3">
        <f>SUMIFS('All Transactions'!$F$5:$F$436,'All Transactions'!$D$5:$D$436,$A134,'All Transactions'!$A$5:$A$436,E$4)</f>
        <v>0</v>
      </c>
      <c r="F134" s="3">
        <f>SUM(B134:E134)</f>
        <v>692.95</v>
      </c>
      <c r="G134" s="3">
        <f>F134/4</f>
        <v>173.2375</v>
      </c>
    </row>
    <row r="135">
      <c r="A135" s="12" t="inlineStr">
        <is>
          <t xml:space="preserve">Allstate Insurance</t>
        </is>
      </c>
      <c r="B135" s="3">
        <f>SUMIFS('All Transactions'!$F$5:$F$436,'All Transactions'!$D$5:$D$436,$A135,'All Transactions'!$A$5:$A$436,B$4)</f>
        <v>360.42</v>
      </c>
      <c r="C135" s="3">
        <f>SUMIFS('All Transactions'!$F$5:$F$436,'All Transactions'!$D$5:$D$436,$A135,'All Transactions'!$A$5:$A$436,C$4)</f>
        <v>360.42</v>
      </c>
      <c r="D135" s="3">
        <f>SUMIFS('All Transactions'!$F$5:$F$436,'All Transactions'!$D$5:$D$436,$A135,'All Transactions'!$A$5:$A$436,D$4)</f>
        <v>475.42</v>
      </c>
      <c r="E135" s="3">
        <f>SUMIFS('All Transactions'!$F$5:$F$436,'All Transactions'!$D$5:$D$436,$A135,'All Transactions'!$A$5:$A$436,E$4)</f>
        <v>354.17</v>
      </c>
      <c r="F135" s="3">
        <f>SUM(B135:E135)</f>
        <v>1550.43</v>
      </c>
      <c r="G135" s="3">
        <f>F135/4</f>
        <v>387.6075</v>
      </c>
    </row>
    <row r="136">
      <c r="A136" s="12" t="inlineStr">
        <is>
          <t xml:space="preserve">Life Insurance (Lincoln National)</t>
        </is>
      </c>
      <c r="B136" s="3">
        <f>SUMIFS('All Transactions'!$F$5:$F$436,'All Transactions'!$D$5:$D$436,$A136,'All Transactions'!$A$5:$A$436,B$4)</f>
        <v>79.21</v>
      </c>
      <c r="C136" s="3">
        <f>SUMIFS('All Transactions'!$F$5:$F$436,'All Transactions'!$D$5:$D$436,$A136,'All Transactions'!$A$5:$A$436,C$4)</f>
        <v>73.61</v>
      </c>
      <c r="D136" s="3">
        <f>SUMIFS('All Transactions'!$F$5:$F$436,'All Transactions'!$D$5:$D$436,$A136,'All Transactions'!$A$5:$A$436,D$4)</f>
        <v>73.61</v>
      </c>
      <c r="E136" s="3">
        <f>SUMIFS('All Transactions'!$F$5:$F$436,'All Transactions'!$D$5:$D$436,$A136,'All Transactions'!$A$5:$A$436,E$4)</f>
        <v>73.61</v>
      </c>
      <c r="F136" s="3">
        <f>SUM(B136:E136)</f>
        <v>300.04</v>
      </c>
      <c r="G136" s="3">
        <f>F136/4</f>
        <v>75.01</v>
      </c>
    </row>
    <row r="137">
      <c r="A137" s="12" t="inlineStr">
        <is>
          <t xml:space="preserve">Banner Life Insurance</t>
        </is>
      </c>
      <c r="B137" s="3">
        <f>SUMIFS('All Transactions'!$F$5:$F$436,'All Transactions'!$D$5:$D$436,$A137,'All Transactions'!$A$5:$A$436,B$4)</f>
        <v>710.06</v>
      </c>
      <c r="C137" s="3">
        <f>SUMIFS('All Transactions'!$F$5:$F$436,'All Transactions'!$D$5:$D$436,$A137,'All Transactions'!$A$5:$A$436,C$4)</f>
        <v>710.06</v>
      </c>
      <c r="D137" s="3">
        <f>SUMIFS('All Transactions'!$F$5:$F$436,'All Transactions'!$D$5:$D$436,$A137,'All Transactions'!$A$5:$A$436,D$4)</f>
        <v>710.06</v>
      </c>
      <c r="E137" s="3">
        <f>SUMIFS('All Transactions'!$F$5:$F$436,'All Transactions'!$D$5:$D$436,$A137,'All Transactions'!$A$5:$A$436,E$4)</f>
        <v>710.06</v>
      </c>
      <c r="F137" s="3">
        <f>SUM(B137:E137)</f>
        <v>2840.24</v>
      </c>
      <c r="G137" s="3">
        <f>F137/4</f>
        <v>710.06</v>
      </c>
    </row>
    <row r="138">
      <c r="A138" s="12" t="inlineStr">
        <is>
          <t xml:space="preserve">Verizon Wireless</t>
        </is>
      </c>
      <c r="B138" s="3">
        <f>SUMIFS('All Transactions'!$F$5:$F$436,'All Transactions'!$D$5:$D$436,$A138,'All Transactions'!$A$5:$A$436,B$4)</f>
        <v>294.57</v>
      </c>
      <c r="C138" s="3">
        <f>SUMIFS('All Transactions'!$F$5:$F$436,'All Transactions'!$D$5:$D$436,$A138,'All Transactions'!$A$5:$A$436,C$4)</f>
        <v>294.8</v>
      </c>
      <c r="D138" s="3">
        <f>SUMIFS('All Transactions'!$F$5:$F$436,'All Transactions'!$D$5:$D$436,$A138,'All Transactions'!$A$5:$A$436,D$4)</f>
        <v>436.02</v>
      </c>
      <c r="E138" s="3">
        <f>SUMIFS('All Transactions'!$F$5:$F$436,'All Transactions'!$D$5:$D$436,$A138,'All Transactions'!$A$5:$A$436,E$4)</f>
        <v>386.85</v>
      </c>
      <c r="F138" s="3">
        <f>SUM(B138:E138)</f>
        <v>1412.24</v>
      </c>
      <c r="G138" s="3">
        <f>F138/4</f>
        <v>353.06</v>
      </c>
    </row>
    <row r="139">
      <c r="A139" s="12" t="inlineStr">
        <is>
          <t xml:space="preserve">Student Loan (Dept of Education)</t>
        </is>
      </c>
      <c r="B139" s="3">
        <f>SUMIFS('All Transactions'!$F$5:$F$436,'All Transactions'!$D$5:$D$436,$A139,'All Transactions'!$A$5:$A$436,B$4)</f>
        <v>160.37</v>
      </c>
      <c r="C139" s="3">
        <f>SUMIFS('All Transactions'!$F$5:$F$436,'All Transactions'!$D$5:$D$436,$A139,'All Transactions'!$A$5:$A$436,C$4)</f>
        <v>160.37</v>
      </c>
      <c r="D139" s="3">
        <f>SUMIFS('All Transactions'!$F$5:$F$436,'All Transactions'!$D$5:$D$436,$A139,'All Transactions'!$A$5:$A$436,D$4)</f>
        <v>160.37</v>
      </c>
      <c r="E139" s="3">
        <f>SUMIFS('All Transactions'!$F$5:$F$436,'All Transactions'!$D$5:$D$436,$A139,'All Transactions'!$A$5:$A$436,E$4)</f>
        <v>160.37</v>
      </c>
      <c r="F139" s="3">
        <f>SUM(B139:E139)</f>
        <v>641.48</v>
      </c>
      <c r="G139" s="3">
        <f>F139/4</f>
        <v>160.37</v>
      </c>
    </row>
    <row r="140">
      <c r="A140" s="12" t="inlineStr">
        <is>
          <t xml:space="preserve">Utility – Electric (BEMC)</t>
        </is>
      </c>
      <c r="B140" s="3">
        <f>SUMIFS('All Transactions'!$F$5:$F$436,'All Transactions'!$D$5:$D$436,$A140,'All Transactions'!$A$5:$A$436,B$4)</f>
        <v>0</v>
      </c>
      <c r="C140" s="3">
        <f>SUMIFS('All Transactions'!$F$5:$F$436,'All Transactions'!$D$5:$D$436,$A140,'All Transactions'!$A$5:$A$436,C$4)</f>
        <v>336.35</v>
      </c>
      <c r="D140" s="3">
        <f>SUMIFS('All Transactions'!$F$5:$F$436,'All Transactions'!$D$5:$D$436,$A140,'All Transactions'!$A$5:$A$436,D$4)</f>
        <v>406.96</v>
      </c>
      <c r="E140" s="3">
        <f>SUMIFS('All Transactions'!$F$5:$F$436,'All Transactions'!$D$5:$D$436,$A140,'All Transactions'!$A$5:$A$436,E$4)</f>
        <v>419.66</v>
      </c>
      <c r="F140" s="3">
        <f>SUM(B140:E140)</f>
        <v>1162.97</v>
      </c>
      <c r="G140" s="3">
        <f>F140/4</f>
        <v>290.7425</v>
      </c>
    </row>
    <row r="141">
      <c r="A141" s="12" t="inlineStr">
        <is>
          <t xml:space="preserve">Utility – Water/Sewer (Brunswick County)</t>
        </is>
      </c>
      <c r="B141" s="3">
        <f>SUMIFS('All Transactions'!$F$5:$F$436,'All Transactions'!$D$5:$D$436,$A141,'All Transactions'!$A$5:$A$436,B$4)</f>
        <v>78.84</v>
      </c>
      <c r="C141" s="3">
        <f>SUMIFS('All Transactions'!$F$5:$F$436,'All Transactions'!$D$5:$D$436,$A141,'All Transactions'!$A$5:$A$436,C$4)</f>
        <v>0</v>
      </c>
      <c r="D141" s="3">
        <f>SUMIFS('All Transactions'!$F$5:$F$436,'All Transactions'!$D$5:$D$436,$A141,'All Transactions'!$A$5:$A$436,D$4)</f>
        <v>179.33</v>
      </c>
      <c r="E141" s="3">
        <f>SUMIFS('All Transactions'!$F$5:$F$436,'All Transactions'!$D$5:$D$436,$A141,'All Transactions'!$A$5:$A$436,E$4)</f>
        <v>84.26</v>
      </c>
      <c r="F141" s="3">
        <f>SUM(B141:E141)</f>
        <v>342.43</v>
      </c>
      <c r="G141" s="3">
        <f>F141/4</f>
        <v>85.6075</v>
      </c>
    </row>
    <row r="142">
      <c r="A142" s="12" t="inlineStr">
        <is>
          <t xml:space="preserve">Utilities total (BEMC + Brunswick County)</t>
        </is>
      </c>
      <c r="B142" s="3">
        <f>SUMIFS('All Transactions'!$F$5:$F$436,'All Transactions'!$E$5:$E$436,"Utilities",'All Transactions'!$A$5:$A$436,B$4)</f>
        <v>78.84</v>
      </c>
      <c r="C142" s="3">
        <f>SUMIFS('All Transactions'!$F$5:$F$436,'All Transactions'!$E$5:$E$436,"Utilities",'All Transactions'!$A$5:$A$436,C$4)</f>
        <v>336.35</v>
      </c>
      <c r="D142" s="3">
        <f>SUMIFS('All Transactions'!$F$5:$F$436,'All Transactions'!$E$5:$E$436,"Utilities",'All Transactions'!$A$5:$A$436,D$4)</f>
        <v>586.29</v>
      </c>
      <c r="E142" s="3">
        <f>SUMIFS('All Transactions'!$F$5:$F$436,'All Transactions'!$E$5:$E$436,"Utilities",'All Transactions'!$A$5:$A$436,E$4)</f>
        <v>503.92</v>
      </c>
      <c r="F142" s="3">
        <f>SUM(B142:E142)</f>
        <v>1505.4</v>
      </c>
      <c r="G142" s="3">
        <f>F142/4</f>
        <v>376.35</v>
      </c>
    </row>
    <row r="143">
      <c r="A143" s="12" t="inlineStr">
        <is>
          <t xml:space="preserve">Internet – Focus Broadband</t>
        </is>
      </c>
      <c r="B143" s="3">
        <f>SUMIFS('All Transactions'!$F$5:$F$436,'All Transactions'!$D$5:$D$436,$A143,'All Transactions'!$A$5:$A$436,B$4)</f>
        <v>80.79</v>
      </c>
      <c r="C143" s="3">
        <f>SUMIFS('All Transactions'!$F$5:$F$436,'All Transactions'!$D$5:$D$436,$A143,'All Transactions'!$A$5:$A$436,C$4)</f>
        <v>0</v>
      </c>
      <c r="D143" s="3">
        <f>SUMIFS('All Transactions'!$F$5:$F$436,'All Transactions'!$D$5:$D$436,$A143,'All Transactions'!$A$5:$A$436,D$4)</f>
        <v>161.58</v>
      </c>
      <c r="E143" s="3">
        <f>SUMIFS('All Transactions'!$F$5:$F$436,'All Transactions'!$D$5:$D$436,$A143,'All Transactions'!$A$5:$A$436,E$4)</f>
        <v>80.79</v>
      </c>
      <c r="F143" s="3">
        <f>SUM(B143:E143)</f>
        <v>323.16</v>
      </c>
      <c r="G143" s="3">
        <f>F143/4</f>
        <v>80.79</v>
      </c>
    </row>
    <row r="144">
      <c r="A144" s="12" t="inlineStr">
        <is>
          <t xml:space="preserve">Restaurants &amp; Takeout</t>
        </is>
      </c>
      <c r="B144" s="3">
        <f>SUMIFS('All Transactions'!$F$5:$F$436,'All Transactions'!$D$5:$D$436,$A144,'All Transactions'!$A$5:$A$436,B$4)</f>
        <v>1019.45</v>
      </c>
      <c r="C144" s="3">
        <f>SUMIFS('All Transactions'!$F$5:$F$436,'All Transactions'!$D$5:$D$436,$A144,'All Transactions'!$A$5:$A$436,C$4)</f>
        <v>935.1</v>
      </c>
      <c r="D144" s="3">
        <f>SUMIFS('All Transactions'!$F$5:$F$436,'All Transactions'!$D$5:$D$436,$A144,'All Transactions'!$A$5:$A$436,D$4)</f>
        <v>962.62</v>
      </c>
      <c r="E144" s="3">
        <f>SUMIFS('All Transactions'!$F$5:$F$436,'All Transactions'!$D$5:$D$436,$A144,'All Transactions'!$A$5:$A$436,E$4)</f>
        <v>848.05</v>
      </c>
      <c r="F144" s="3">
        <f>SUM(B144:E144)</f>
        <v>3765.22</v>
      </c>
      <c r="G144" s="3">
        <f>F144/4</f>
        <v>941.305</v>
      </c>
    </row>
    <row r="145">
      <c r="A145" s="12" t="inlineStr">
        <is>
          <t xml:space="preserve">Gas &amp; Convenience Stores</t>
        </is>
      </c>
      <c r="B145" s="3">
        <f>SUMIFS('All Transactions'!$F$5:$F$436,'All Transactions'!$D$5:$D$436,$A145,'All Transactions'!$A$5:$A$436,B$4)</f>
        <v>108.9</v>
      </c>
      <c r="C145" s="3">
        <f>SUMIFS('All Transactions'!$F$5:$F$436,'All Transactions'!$D$5:$D$436,$A145,'All Transactions'!$A$5:$A$436,C$4)</f>
        <v>277.87</v>
      </c>
      <c r="D145" s="3">
        <f>SUMIFS('All Transactions'!$F$5:$F$436,'All Transactions'!$D$5:$D$436,$A145,'All Transactions'!$A$5:$A$436,D$4)</f>
        <v>167.24</v>
      </c>
      <c r="E145" s="3">
        <f>SUMIFS('All Transactions'!$F$5:$F$436,'All Transactions'!$D$5:$D$436,$A145,'All Transactions'!$A$5:$A$436,E$4)</f>
        <v>238.98</v>
      </c>
      <c r="F145" s="3">
        <f>SUM(B145:E145)</f>
        <v>792.99</v>
      </c>
      <c r="G145" s="3">
        <f>F145/4</f>
        <v>198.2475</v>
      </c>
    </row>
    <row r="146">
      <c r="A146" s="12" t="inlineStr">
        <is>
          <t xml:space="preserve">Groceries (Lowes Foods + Publix + Food Lion)</t>
        </is>
      </c>
      <c r="B146" s="3">
        <f>SUMIFS('All Transactions'!$F$5:$F$436,'All Transactions'!$E$5:$E$436,"Groceries",'All Transactions'!$A$5:$A$436,B$4)</f>
        <v>1266.4</v>
      </c>
      <c r="C146" s="3">
        <f>SUMIFS('All Transactions'!$F$5:$F$436,'All Transactions'!$E$5:$E$436,"Groceries",'All Transactions'!$A$5:$A$436,C$4)</f>
        <v>1279.24</v>
      </c>
      <c r="D146" s="3">
        <f>SUMIFS('All Transactions'!$F$5:$F$436,'All Transactions'!$E$5:$E$436,"Groceries",'All Transactions'!$A$5:$A$436,D$4)</f>
        <v>1184.27</v>
      </c>
      <c r="E146" s="3">
        <f>SUMIFS('All Transactions'!$F$5:$F$436,'All Transactions'!$E$5:$E$436,"Groceries",'All Transactions'!$A$5:$A$436,E$4)</f>
        <v>1202.5</v>
      </c>
      <c r="F146" s="3">
        <f>SUM(B146:E146)</f>
        <v>4932.41</v>
      </c>
      <c r="G146" s="3">
        <f>F146/4</f>
        <v>1233.1025</v>
      </c>
    </row>
    <row r="147">
      <c r="A147" s="12" t="inlineStr">
        <is>
          <t xml:space="preserve">Haircuts – The Color Bar</t>
        </is>
      </c>
      <c r="B147" s="3">
        <f>SUMIFS('All Transactions'!$F$5:$F$436,'All Transactions'!$D$5:$D$436,$A147,'All Transactions'!$A$5:$A$436,B$4)</f>
        <v>182.5</v>
      </c>
      <c r="C147" s="3">
        <f>SUMIFS('All Transactions'!$F$5:$F$436,'All Transactions'!$D$5:$D$436,$A147,'All Transactions'!$A$5:$A$436,C$4)</f>
        <v>0</v>
      </c>
      <c r="D147" s="3">
        <f>SUMIFS('All Transactions'!$F$5:$F$436,'All Transactions'!$D$5:$D$436,$A147,'All Transactions'!$A$5:$A$436,D$4)</f>
        <v>182.5</v>
      </c>
      <c r="E147" s="3">
        <f>SUMIFS('All Transactions'!$F$5:$F$436,'All Transactions'!$D$5:$D$436,$A147,'All Transactions'!$A$5:$A$436,E$4)</f>
        <v>32.5</v>
      </c>
      <c r="F147" s="3">
        <f>SUM(B147:E147)</f>
        <v>397.5</v>
      </c>
      <c r="G147" s="3">
        <f>F147/4</f>
        <v>99.375</v>
      </c>
    </row>
    <row r="148">
      <c r="A148" s="12" t="inlineStr">
        <is>
          <t xml:space="preserve">Retail (all retailers)</t>
        </is>
      </c>
      <c r="B148" s="3">
        <f>SUMIFS('All Transactions'!$F$5:$F$436,'All Transactions'!$E$5:$E$436,"Retail",'All Transactions'!$A$5:$A$436,B$4)</f>
        <v>815.42</v>
      </c>
      <c r="C148" s="3">
        <f>SUMIFS('All Transactions'!$F$5:$F$436,'All Transactions'!$E$5:$E$436,"Retail",'All Transactions'!$A$5:$A$436,C$4)</f>
        <v>1150.18</v>
      </c>
      <c r="D148" s="3">
        <f>SUMIFS('All Transactions'!$F$5:$F$436,'All Transactions'!$E$5:$E$436,"Retail",'All Transactions'!$A$5:$A$436,D$4)</f>
        <v>2380.47</v>
      </c>
      <c r="E148" s="3">
        <f>SUMIFS('All Transactions'!$F$5:$F$436,'All Transactions'!$E$5:$E$436,"Retail",'All Transactions'!$A$5:$A$436,E$4)</f>
        <v>357.62</v>
      </c>
      <c r="F148" s="3">
        <f>SUM(B148:E148)</f>
        <v>4703.69</v>
      </c>
      <c r="G148" s="3">
        <f>F148/4</f>
        <v>1175.9225</v>
      </c>
    </row>
    <row r="149">
      <c r="A149" s="12" t="inlineStr">
        <is>
          <t xml:space="preserve">Streaming (all services)</t>
        </is>
      </c>
      <c r="B149" s="3">
        <f>SUMIFS('All Transactions'!$F$5:$F$436,'All Transactions'!$E$5:$E$436,"Streaming",'All Transactions'!$A$5:$A$436,B$4)</f>
        <v>188.8</v>
      </c>
      <c r="C149" s="3">
        <f>SUMIFS('All Transactions'!$F$5:$F$436,'All Transactions'!$E$5:$E$436,"Streaming",'All Transactions'!$A$5:$A$436,C$4)</f>
        <v>201.6</v>
      </c>
      <c r="D149" s="3">
        <f>SUMIFS('All Transactions'!$F$5:$F$436,'All Transactions'!$E$5:$E$436,"Streaming",'All Transactions'!$A$5:$A$436,D$4)</f>
        <v>158.35</v>
      </c>
      <c r="E149" s="3">
        <f>SUMIFS('All Transactions'!$F$5:$F$436,'All Transactions'!$E$5:$E$436,"Streaming",'All Transactions'!$A$5:$A$436,E$4)</f>
        <v>188.98</v>
      </c>
      <c r="F149" s="3">
        <f>SUM(B149:E149)</f>
        <v>737.73</v>
      </c>
      <c r="G149" s="3">
        <f>F149/4</f>
        <v>184.4325</v>
      </c>
    </row>
    <row r="151">
      <c r="A151" s="5" t="inlineStr">
        <is>
          <t xml:space="preserve">Notes &amp; assumptions</t>
        </is>
      </c>
    </row>
    <row r="152" ht="27" customHeight="1">
      <c r="A152" s="11" t="inlineStr">
        <is>
          <t xml:space="preserve">• "Month" = the bank statement period (June stmt 5/27–6/24, July 6/25–7/23, Aug 7/24–8/25, Sept 8/26–9/24), not the calendar month.</t>
        </is>
      </c>
    </row>
    <row r="153" ht="27" customHeight="1">
      <c r="A153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54" ht="27" customHeight="1">
      <c r="A154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55" ht="27" customHeight="1">
      <c r="A155" s="11" t="inlineStr">
        <is>
          <t xml:space="preserve">• Not counted as spending (per your instructions): WTW health premium ($2,576/mo, reimbursed by Via Benefits), American Express credit card payoffs, Sloane Realty, checks #101/102/103/518/520, and a $3.26 transfer to your own Wells Fargo account. They are listed in their own section so the sheet still ties to the bank statement.</t>
        </is>
      </c>
    </row>
    <row r="156" ht="27" customHeight="1">
      <c r="A156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57" ht="27" customHeight="1">
      <c r="A157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58" ht="27" customHeight="1">
      <c r="A158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Small hospital-cafeteria charges (Granville Med, Duke) are counted as Restaurants.</t>
        </is>
      </c>
    </row>
  </sheetData>
  <mergeCells count="7">
    <mergeCell ref="A152:G152"/>
    <mergeCell ref="A153:G153"/>
    <mergeCell ref="A154:G154"/>
    <mergeCell ref="A155:G155"/>
    <mergeCell ref="A156:G156"/>
    <mergeCell ref="A157:G157"/>
    <mergeCell ref="A158:G158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Grocery – Lowes Foods</t>
        </is>
      </c>
      <c r="H6" s="3">
        <f>SUMIF($C$4:$C$119,G6,$E$4:$E$119)</f>
        <v>1145.69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Grocery – Lowes Foods</t>
        </is>
      </c>
      <c r="D12" s="2" t="inlineStr">
        <is>
          <t xml:space="preserve">Groceries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Other Food Stores (Harris Teeter, Beach Pantry)</t>
        </is>
      </c>
      <c r="H13" s="3">
        <f>SUMIF($C$4:$C$119,G13,$E$4:$E$119)</f>
        <v>263.35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Health Insurance – Blue Cross NC</t>
        </is>
      </c>
      <c r="H14" s="3">
        <f>SUMIF($C$4:$C$119,G14,$E$4:$E$119)</f>
        <v>216.25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Haircuts – The Color Bar</t>
        </is>
      </c>
      <c r="H15" s="3">
        <f>SUMIF($C$4:$C$119,G15,$E$4:$E$119)</f>
        <v>182.5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Medical &amp;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Retail – Ulta Beauty</t>
        </is>
      </c>
      <c r="H19" s="3">
        <f>SUMIF($C$4:$C$119,G19,$E$4:$E$119)</f>
        <v>134.71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Grocery – Publix</t>
        </is>
      </c>
      <c r="H20" s="3">
        <f>SUMIF($C$4:$C$119,G20,$E$4:$E$119)</f>
        <v>120.71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Grocery – Lowes Foods</t>
        </is>
      </c>
      <c r="D21" s="2" t="inlineStr">
        <is>
          <t xml:space="preserve">Groceries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Retail – Local shops (Hippie Chick, Southport Spices, Mad River, Coastal Carolina)</t>
        </is>
      </c>
      <c r="H22" s="3">
        <f>SUMIF($C$4:$C$119,G22,$E$4:$E$119)</f>
        <v>108.03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Streaming – YouTube TV (Google)</t>
        </is>
      </c>
      <c r="H24" s="3">
        <f>SUMIF($C$4:$C$119,G24,$E$4:$E$119)</f>
        <v>100.78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Internet – Focus Broadband</t>
        </is>
      </c>
      <c r="H25" s="3">
        <f>SUMIF($C$4:$C$119,G25,$E$4:$E$119)</f>
        <v>80.79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Life Insurance (Lincoln National)</t>
        </is>
      </c>
      <c r="H26" s="3">
        <f>SUMIF($C$4:$C$119,G26,$E$4:$E$119)</f>
        <v>79.21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Utility – Water/Sewer (Brunswick County)</t>
        </is>
      </c>
      <c r="H27" s="3">
        <f>SUMIF($C$4:$C$119,G27,$E$4:$E$119)</f>
        <v>78.84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Transfers to People (Venmo/Zelle)</t>
        </is>
      </c>
      <c r="H28" s="3">
        <f>SUMIF($C$4:$C$119,G28,$E$4:$E$119)</f>
        <v>75.0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Dental Insurance – Delta Dental</t>
        </is>
      </c>
      <c r="H29" s="3">
        <f>SUMIF($C$4:$C$119,G29,$E$4:$E$119)</f>
        <v>69.36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Grocery – Lowes Foods</t>
        </is>
      </c>
      <c r="D30" s="2" t="inlineStr">
        <is>
          <t xml:space="preserve">Groceries</t>
        </is>
      </c>
      <c r="E30" s="3">
        <v>225.23</v>
      </c>
      <c r="G30" s="2" t="inlineStr">
        <is>
          <t xml:space="preserve">Yard Company (NextGen)</t>
        </is>
      </c>
      <c r="H30" s="3">
        <f>SUMIF($C$4:$C$119,G30,$E$4:$E$119)</f>
        <v>60.0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Target</t>
        </is>
      </c>
      <c r="H31" s="3">
        <f>SUMIF($C$4:$C$119,G31,$E$4:$E$119)</f>
        <v>58.98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Bath &amp; Body Works</t>
        </is>
      </c>
      <c r="H32" s="3">
        <f>SUMIF($C$4:$C$119,G32,$E$4:$E$119)</f>
        <v>51.31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Haircuts – The Color Bar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Retail – Ross</t>
        </is>
      </c>
      <c r="H33" s="3">
        <f>SUMIF($C$4:$C$119,G33,$E$4:$E$119)</f>
        <v>48.03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Retail – Lowe's (home improvement)</t>
        </is>
      </c>
      <c r="H34" s="3">
        <f>SUMIF($C$4:$C$119,G34,$E$4:$E$119)</f>
        <v>27.67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Frndly TV</t>
        </is>
      </c>
      <c r="H35" s="3">
        <f>SUMIF($C$4:$C$119,G35,$E$4:$E$119)</f>
        <v>22.41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Disney (via Roku)</t>
        </is>
      </c>
      <c r="H36" s="3">
        <f>SUMIF($C$4:$C$119,G36,$E$4:$E$119)</f>
        <v>20.27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HBO Max</t>
        </is>
      </c>
      <c r="H37" s="3">
        <f>SUMIF($C$4:$C$119,G37,$E$4:$E$119)</f>
        <v>19.74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Streaming – ESPN (Sept billed as Disney Plus)</t>
        </is>
      </c>
      <c r="H38" s="3">
        <f>SUMIF($C$4:$C$119,G38,$E$4:$E$119)</f>
        <v>13.87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2" t="inlineStr">
        <is>
          <t xml:space="preserve">Streaming – Peacock (via Roku)</t>
        </is>
      </c>
      <c r="H39" s="3">
        <f>SUMIF($C$4:$C$119,G39,$E$4:$E$119)</f>
        <v>11.73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  <c r="G40" s="2" t="inlineStr">
        <is>
          <t xml:space="preserve">Tolls &amp; Parking</t>
        </is>
      </c>
      <c r="H40" s="3">
        <f>SUMIF($C$4:$C$119,G40,$E$4:$E$119)</f>
        <v>5.84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8" t="inlineStr">
        <is>
          <t xml:space="preserve">Total spending</t>
        </is>
      </c>
      <c r="H41" s="9">
        <f>SUM(H4:H40)</f>
        <v>12135.81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7" t="inlineStr">
        <is>
          <t xml:space="preserve">Not counted as spending</t>
        </is>
      </c>
      <c r="H43" s="7"/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  <c r="G44" s="2" t="inlineStr">
        <is>
          <t xml:space="preserve">Checks Written (payee not shown)</t>
        </is>
      </c>
      <c r="H44" s="3">
        <f>SUMIF($C$4:$C$119,G44,$E$4:$E$119)</f>
        <v>2630.0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SUMIF($C$4:$C$119,G45,$E$4:$E$119)</f>
        <v>2576.0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Grocery – Lowes Foods</t>
        </is>
      </c>
      <c r="D57" s="2" t="inlineStr">
        <is>
          <t xml:space="preserve">Groceries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Grocery – Lowes Foods</t>
        </is>
      </c>
      <c r="D64" s="2" t="inlineStr">
        <is>
          <t xml:space="preserve">Groceries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Debt Payments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Grocery – Publix</t>
        </is>
      </c>
      <c r="D74" s="2" t="inlineStr">
        <is>
          <t xml:space="preserve">Groceries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Other Food Stores (Harris Teeter, Beach Pantry)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Other Food Stores (Harris Teeter, Beach Pantry)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Grocery – Lowes Foods</t>
        </is>
      </c>
      <c r="D84" s="2" t="inlineStr">
        <is>
          <t xml:space="preserve">Groceries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Medical &amp;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Medical &amp;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Grocery – Lowes Foods</t>
        </is>
      </c>
      <c r="D114" s="2" t="inlineStr">
        <is>
          <t xml:space="preserve">Groceries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Haircuts – The Color Bar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Retail – Belk (store card payments)</t>
        </is>
      </c>
      <c r="H6" s="3">
        <f>SUMIF($C$4:$C$127,G6,$E$4:$E$127)</f>
        <v>948.04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935.1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Grocery – Lowes Foods</t>
        </is>
      </c>
      <c r="D10" s="2" t="inlineStr">
        <is>
          <t xml:space="preserve">Groceries</t>
        </is>
      </c>
      <c r="E10" s="3">
        <v>2.14</v>
      </c>
      <c r="G10" s="2" t="inlineStr">
        <is>
          <t xml:space="preserve">Grocery – Lowes Foods</t>
        </is>
      </c>
      <c r="H10" s="3">
        <f>SUMIF($C$4:$C$127,G10,$E$4:$E$127)</f>
        <v>611.14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Grocery – Food Lion</t>
        </is>
      </c>
      <c r="H13" s="3">
        <f>SUMIF($C$4:$C$127,G13,$E$4:$E$127)</f>
        <v>336.67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Utility – Electric (BEMC)</t>
        </is>
      </c>
      <c r="H14" s="3">
        <f>SUMIF($C$4:$C$127,G14,$E$4:$E$127)</f>
        <v>336.35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Grocery – Publix</t>
        </is>
      </c>
      <c r="H15" s="3">
        <f>SUMIF($C$4:$C$127,G15,$E$4:$E$127)</f>
        <v>331.43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Verizon Wireless</t>
        </is>
      </c>
      <c r="H16" s="3">
        <f>SUMIF($C$4:$C$127,G16,$E$4:$E$127)</f>
        <v>294.8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Gas &amp; Convenience Stores</t>
        </is>
      </c>
      <c r="H17" s="3">
        <f>SUMIF($C$4:$C$127,G17,$E$4:$E$127)</f>
        <v>277.87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Home Services (Cleaning, Pest, Lawn)</t>
        </is>
      </c>
      <c r="H18" s="3">
        <f>SUMIF($C$4:$C$127,G18,$E$4:$E$127)</f>
        <v>242.05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Software &amp; Online Subscriptions</t>
        </is>
      </c>
      <c r="H19" s="3">
        <f>SUMIF($C$4:$C$127,G19,$E$4:$E$127)</f>
        <v>161.05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Student Loan (Dept of Education)</t>
        </is>
      </c>
      <c r="H20" s="3">
        <f>SUMIF($C$4:$C$127,G20,$E$4:$E$127)</f>
        <v>160.37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Retail – Walmart</t>
        </is>
      </c>
      <c r="H21" s="3">
        <f>SUMIF($C$4:$C$127,G21,$E$4:$E$127)</f>
        <v>132.66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Medical &amp; Pharmacy</t>
        </is>
      </c>
      <c r="H22" s="3">
        <f>SUMIF($C$4:$C$127,G22,$E$4:$E$127)</f>
        <v>100.93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Grocery – Lowes Foods</t>
        </is>
      </c>
      <c r="D23" s="2" t="inlineStr">
        <is>
          <t xml:space="preserve">Groceries</t>
        </is>
      </c>
      <c r="E23" s="3">
        <v>41.57</v>
      </c>
      <c r="G23" s="2" t="inlineStr">
        <is>
          <t xml:space="preserve">Streaming – YouTube TV (Google)</t>
        </is>
      </c>
      <c r="H23" s="3">
        <f>SUMIF($C$4:$C$127,G23,$E$4:$E$127)</f>
        <v>100.78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Yard Company (NextGen)</t>
        </is>
      </c>
      <c r="H24" s="3">
        <f>SUMIF($C$4:$C$127,G24,$E$4:$E$127)</f>
        <v>100.0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Grocery – Publix</t>
        </is>
      </c>
      <c r="D25" s="2" t="inlineStr">
        <is>
          <t xml:space="preserve">Groceries</t>
        </is>
      </c>
      <c r="E25" s="3">
        <v>93.02</v>
      </c>
      <c r="G25" s="2" t="inlineStr">
        <is>
          <t xml:space="preserve">Life Insurance (Lincoln National)</t>
        </is>
      </c>
      <c r="H25" s="3">
        <f>SUMIF($C$4:$C$127,G25,$E$4:$E$127)</f>
        <v>73.61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Dental Insurance – Delta Dental</t>
        </is>
      </c>
      <c r="H26" s="3">
        <f>SUMIF($C$4:$C$127,G26,$E$4:$E$127)</f>
        <v>69.36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Retail – Dick's Sporting Goods</t>
        </is>
      </c>
      <c r="H27" s="3">
        <f>SUMIF($C$4:$C$127,G27,$E$4:$E$127)</f>
        <v>63.61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St. James Marina</t>
        </is>
      </c>
      <c r="H28" s="3">
        <f>SUMIF($C$4:$C$127,G28,$E$4:$E$127)</f>
        <v>33.54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Streaming – Frndly TV</t>
        </is>
      </c>
      <c r="H29" s="3">
        <f>SUMIF($C$4:$C$127,G29,$E$4:$E$127)</f>
        <v>22.41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Disney (via Roku)</t>
        </is>
      </c>
      <c r="H30" s="3">
        <f>SUMIF($C$4:$C$127,G30,$E$4:$E$127)</f>
        <v>20.27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Medical &amp;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HBO Max</t>
        </is>
      </c>
      <c r="H31" s="3">
        <f>SUMIF($C$4:$C$127,G31,$E$4:$E$127)</f>
        <v>19.74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ESPN (Sept billed as Disney Plus)</t>
        </is>
      </c>
      <c r="H32" s="3">
        <f>SUMIF($C$4:$C$127,G32,$E$4:$E$127)</f>
        <v>13.87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10.1</v>
      </c>
      <c r="G33" s="2" t="inlineStr">
        <is>
          <t xml:space="preserve">Streaming – Hulu</t>
        </is>
      </c>
      <c r="H33" s="3">
        <f>SUMIF($C$4:$C$127,G33,$E$4:$E$127)</f>
        <v>12.8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18.98</v>
      </c>
      <c r="G34" s="2" t="inlineStr">
        <is>
          <t xml:space="preserve">Streaming – Peacock (via Roku)</t>
        </is>
      </c>
      <c r="H34" s="3">
        <f>SUMIF($C$4:$C$127,G34,$E$4:$E$127)</f>
        <v>11.73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  <c r="G35" s="2" t="inlineStr">
        <is>
          <t xml:space="preserve">Retail – Dollar Tree / Dollar General</t>
        </is>
      </c>
      <c r="H35" s="3">
        <f>SUMIF($C$4:$C$127,G35,$E$4:$E$127)</f>
        <v>5.87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8.85</v>
      </c>
      <c r="G36" s="8" t="inlineStr">
        <is>
          <t xml:space="preserve">Total spending</t>
        </is>
      </c>
      <c r="H36" s="9">
        <f>SUM(H4:H35)</f>
        <v>12663.24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  <c r="G38" s="7" t="inlineStr">
        <is>
          <t xml:space="preserve">Not counted as spending</t>
        </is>
      </c>
      <c r="H38" s="7"/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2" t="inlineStr">
        <is>
          <t xml:space="preserve">Credit Card Payoff – American Express</t>
        </is>
      </c>
      <c r="H39" s="3">
        <f>SUMIF($C$4:$C$127,G39,$E$4:$E$127)</f>
        <v>7227.09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Sloane Realty</t>
        </is>
      </c>
      <c r="H40" s="3">
        <f>SUMIF($C$4:$C$127,G40,$E$4:$E$127)</f>
        <v>2891.98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  <c r="G41" s="2" t="inlineStr">
        <is>
          <t xml:space="preserve">Transfer to Own WF Account</t>
        </is>
      </c>
      <c r="H41" s="3">
        <f>SUMIF($C$4:$C$127,G41,$E$4:$E$127)</f>
        <v>3.26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Restaurants &amp; Takeout</t>
        </is>
      </c>
      <c r="D42" s="2" t="inlineStr">
        <is>
          <t xml:space="preserve">Food</t>
        </is>
      </c>
      <c r="E42" s="3">
        <v>6.21</v>
      </c>
      <c r="G42" s="2" t="inlineStr">
        <is>
          <t xml:space="preserve">WTW Health Premium (reimbursed by Via Benefits)</t>
        </is>
      </c>
      <c r="H42" s="3">
        <f>SUMIF($C$4:$C$127,G42,$E$4:$E$127)</f>
        <v>2576.0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Grocery – Publix</t>
        </is>
      </c>
      <c r="D45" s="2" t="inlineStr">
        <is>
          <t xml:space="preserve">Groceries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Grocery – Publix</t>
        </is>
      </c>
      <c r="D49" s="2" t="inlineStr">
        <is>
          <t xml:space="preserve">Groceries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Grocery – Lowes Foods</t>
        </is>
      </c>
      <c r="D62" s="2" t="inlineStr">
        <is>
          <t xml:space="preserve">Groceries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Grocery – Lowes Foods</t>
        </is>
      </c>
      <c r="D63" s="2" t="inlineStr">
        <is>
          <t xml:space="preserve">Groceries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Medical &amp;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Grocery – Lowes Foods</t>
        </is>
      </c>
      <c r="D77" s="2" t="inlineStr">
        <is>
          <t xml:space="preserve">Groceries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Grocery – Lowes Foods</t>
        </is>
      </c>
      <c r="D89" s="2" t="inlineStr">
        <is>
          <t xml:space="preserve">Groceries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Grocery – Lowes Foods</t>
        </is>
      </c>
      <c r="D91" s="2" t="inlineStr">
        <is>
          <t xml:space="preserve">Groceries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Grocery – Publix</t>
        </is>
      </c>
      <c r="D99" s="2" t="inlineStr">
        <is>
          <t xml:space="preserve">Groceries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Grocery – Publix</t>
        </is>
      </c>
      <c r="D101" s="2" t="inlineStr">
        <is>
          <t xml:space="preserve">Groceries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Grocery – Lowes Foods</t>
        </is>
      </c>
      <c r="D103" s="2" t="inlineStr">
        <is>
          <t xml:space="preserve">Groceries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Grocery – Publix</t>
        </is>
      </c>
      <c r="D109" s="2" t="inlineStr">
        <is>
          <t xml:space="preserve">Groceries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Medical &amp;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Grocery – Food Lion</t>
        </is>
      </c>
      <c r="D117" s="2" t="inlineStr">
        <is>
          <t xml:space="preserve">Groceries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12663.24</v>
      </c>
    </row>
    <row r="129">
      <c r="D129" s="7" t="inlineStr">
        <is>
          <t xml:space="preserve">Not counted (Excluded)</t>
        </is>
      </c>
      <c r="E129" s="6">
        <f>SUMIF(D4:D127,"Excluded",E4:E127)</f>
        <v>12698.33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Restaurants &amp; Takeout</t>
        </is>
      </c>
      <c r="H7" s="3">
        <f>SUMIF($C$4:$C$110,G7,$E$4:$E$110)</f>
        <v>962.62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Medical &amp; Pharmacy</t>
        </is>
      </c>
      <c r="H8" s="3">
        <f>SUMIF($C$4:$C$110,G8,$E$4:$E$110)</f>
        <v>850.9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Banner Life Insurance</t>
        </is>
      </c>
      <c r="H9" s="3">
        <f>SUMIF($C$4:$C$110,G9,$E$4:$E$110)</f>
        <v>710.06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Grocery – Lowes Foods</t>
        </is>
      </c>
      <c r="H10" s="3">
        <f>SUMIF($C$4:$C$110,G10,$E$4:$E$110)</f>
        <v>584.25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Home Services (Cleaning, Pest, Lawn)</t>
        </is>
      </c>
      <c r="H11" s="3">
        <f>SUMIF($C$4:$C$110,G11,$E$4:$E$110)</f>
        <v>536.6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Grocery – Publix</t>
        </is>
      </c>
      <c r="D12" s="2" t="inlineStr">
        <is>
          <t xml:space="preserve">Groceries</t>
        </is>
      </c>
      <c r="E12" s="3">
        <v>85.7</v>
      </c>
      <c r="G12" s="2" t="inlineStr">
        <is>
          <t xml:space="preserve">Grocery – Publix</t>
        </is>
      </c>
      <c r="H12" s="3">
        <f>SUMIF($C$4:$C$110,G12,$E$4:$E$110)</f>
        <v>522.68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Allstate Insurance</t>
        </is>
      </c>
      <c r="H13" s="3">
        <f>SUMIF($C$4:$C$110,G13,$E$4:$E$110)</f>
        <v>475.42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Haircuts – The Color Bar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Verizon Wireless</t>
        </is>
      </c>
      <c r="H14" s="3">
        <f>SUMIF($C$4:$C$110,G14,$E$4:$E$110)</f>
        <v>436.02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Health Insurance – Blue Cross NC</t>
        </is>
      </c>
      <c r="H15" s="3">
        <f>SUMIF($C$4:$C$110,G15,$E$4:$E$110)</f>
        <v>432.5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Utility – Electric (BEMC)</t>
        </is>
      </c>
      <c r="H16" s="3">
        <f>SUMIF($C$4:$C$110,G16,$E$4:$E$110)</f>
        <v>406.96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&amp; Pharmacy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Transfers to People (Venmo/Zelle)</t>
        </is>
      </c>
      <c r="H17" s="3">
        <f>SUMIF($C$4:$C$110,G17,$E$4:$E$110)</f>
        <v>331.5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Yard Company (NextGen)</t>
        </is>
      </c>
      <c r="H18" s="3">
        <f>SUMIF($C$4:$C$110,G18,$E$4:$E$110)</f>
        <v>220.0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Haircuts – The Color Bar</t>
        </is>
      </c>
      <c r="H19" s="3">
        <f>SUMIF($C$4:$C$110,G19,$E$4:$E$110)</f>
        <v>182.5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Utility – Water/Sewer (Brunswick County)</t>
        </is>
      </c>
      <c r="H20" s="3">
        <f>SUMIF($C$4:$C$110,G20,$E$4:$E$110)</f>
        <v>179.33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Retail – Dillard's</t>
        </is>
      </c>
      <c r="H21" s="3">
        <f>SUMIF($C$4:$C$110,G21,$E$4:$E$110)</f>
        <v>174.74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Retail – Lowe's (home improvement)</t>
        </is>
      </c>
      <c r="H22" s="3">
        <f>SUMIF($C$4:$C$110,G22,$E$4:$E$110)</f>
        <v>171.55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Gas &amp; Convenience Stores</t>
        </is>
      </c>
      <c r="H23" s="3">
        <f>SUMIF($C$4:$C$110,G23,$E$4:$E$110)</f>
        <v>167.24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Other Food Stores (Harris Teeter, Beach Pantry)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Retail – Hobby Lobby</t>
        </is>
      </c>
      <c r="H24" s="3">
        <f>SUMIF($C$4:$C$110,G24,$E$4:$E$110)</f>
        <v>165.67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Internet – Focus Broadband</t>
        </is>
      </c>
      <c r="H25" s="3">
        <f>SUMIF($C$4:$C$110,G25,$E$4:$E$110)</f>
        <v>161.58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Student Loan (Dept of Education)</t>
        </is>
      </c>
      <c r="H26" s="3">
        <f>SUMIF($C$4:$C$110,G26,$E$4:$E$110)</f>
        <v>160.37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Streaming – YouTube TV (Google)</t>
        </is>
      </c>
      <c r="H27" s="3">
        <f>SUMIF($C$4:$C$110,G27,$E$4:$E$110)</f>
        <v>89.0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Retail – HomeSense</t>
        </is>
      </c>
      <c r="H28" s="3">
        <f>SUMIF($C$4:$C$110,G28,$E$4:$E$110)</f>
        <v>88.7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Grocery – Food Lion</t>
        </is>
      </c>
      <c r="H29" s="3">
        <f>SUMIF($C$4:$C$110,G29,$E$4:$E$110)</f>
        <v>77.34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Life Insurance (Lincoln National)</t>
        </is>
      </c>
      <c r="H30" s="3">
        <f>SUMIF($C$4:$C$110,G30,$E$4:$E$110)</f>
        <v>73.61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Dental Insurance – Delta Dental</t>
        </is>
      </c>
      <c r="H31" s="3">
        <f>SUMIF($C$4:$C$110,G31,$E$4:$E$110)</f>
        <v>69.36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Software &amp; Online Subscriptions</t>
        </is>
      </c>
      <c r="H32" s="3">
        <f>SUMIF($C$4:$C$110,G32,$E$4:$E$110)</f>
        <v>65.98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Retail – Tractor Supply</t>
        </is>
      </c>
      <c r="H33" s="3">
        <f>SUMIF($C$4:$C$110,G33,$E$4:$E$110)</f>
        <v>29.86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Streaming – Frndly TV</t>
        </is>
      </c>
      <c r="H34" s="3">
        <f>SUMIF($C$4:$C$110,G34,$E$4:$E$110)</f>
        <v>22.41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Streaming – Disney (via Roku)</t>
        </is>
      </c>
      <c r="H35" s="3">
        <f>SUMIF($C$4:$C$110,G35,$E$4:$E$110)</f>
        <v>20.27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Medical &amp;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Tolls &amp; Parking</t>
        </is>
      </c>
      <c r="H36" s="3">
        <f>SUMIF($C$4:$C$110,G36,$E$4:$E$110)</f>
        <v>18.44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Retail – Dollar Tree / Dollar General</t>
        </is>
      </c>
      <c r="H37" s="3">
        <f>SUMIF($C$4:$C$110,G37,$E$4:$E$110)</f>
        <v>17.35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Streaming – ESPN (Sept billed as Disney Plus)</t>
        </is>
      </c>
      <c r="H38" s="3">
        <f>SUMIF($C$4:$C$110,G38,$E$4:$E$110)</f>
        <v>13.87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2" t="inlineStr">
        <is>
          <t xml:space="preserve">Entertainment &amp; Events</t>
        </is>
      </c>
      <c r="H39" s="3">
        <f>SUMIF($C$4:$C$110,G39,$E$4:$E$110)</f>
        <v>13.5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  <c r="G40" s="2" t="inlineStr">
        <is>
          <t xml:space="preserve">Streaming – Hulu</t>
        </is>
      </c>
      <c r="H40" s="3">
        <f>SUMIF($C$4:$C$110,G40,$E$4:$E$110)</f>
        <v>12.8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2" t="inlineStr">
        <is>
          <t xml:space="preserve">Other Food Stores (Harris Teeter, Beach Pantry)</t>
        </is>
      </c>
      <c r="H41" s="3">
        <f>SUMIF($C$4:$C$110,G41,$E$4:$E$110)</f>
        <v>5.85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8" t="inlineStr">
        <is>
          <t xml:space="preserve">Total spending</t>
        </is>
      </c>
      <c r="H42" s="9">
        <f>SUM(H4:H41)</f>
        <v>15086.64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Grocery – Publix</t>
        </is>
      </c>
      <c r="D43" s="2" t="inlineStr">
        <is>
          <t xml:space="preserve">Groceries</t>
        </is>
      </c>
      <c r="E43" s="3">
        <v>239.44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  <c r="G44" s="7" t="inlineStr">
        <is>
          <t xml:space="preserve">Not counted as spending</t>
        </is>
      </c>
      <c r="H44" s="7"/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  <c r="G45" s="2" t="inlineStr">
        <is>
          <t xml:space="preserve">Checks Written (payee not shown)</t>
        </is>
      </c>
      <c r="H45" s="3">
        <f>SUMIF($C$4:$C$110,G45,$E$4:$E$110)</f>
        <v>728.0</v>
      </c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  <c r="G46" s="2" t="inlineStr">
        <is>
          <t xml:space="preserve">Credit Card Payoff – American Express</t>
        </is>
      </c>
      <c r="H46" s="3">
        <f>SUMIF($C$4:$C$110,G46,$E$4:$E$110)</f>
        <v>4593.08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Grocery – Lowes Foods</t>
        </is>
      </c>
      <c r="D47" s="2" t="inlineStr">
        <is>
          <t xml:space="preserve">Groceries</t>
        </is>
      </c>
      <c r="E47" s="3">
        <v>63.82</v>
      </c>
      <c r="G47" s="2" t="inlineStr">
        <is>
          <t xml:space="preserve">WTW Health Premium (reimbursed by Via Benefits)</t>
        </is>
      </c>
      <c r="H47" s="3">
        <f>SUMIF($C$4:$C$110,G47,$E$4:$E$110)</f>
        <v>2576.0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Grocery – Food Lion</t>
        </is>
      </c>
      <c r="D50" s="2" t="inlineStr">
        <is>
          <t xml:space="preserve">Groceries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Grocery – Publix</t>
        </is>
      </c>
      <c r="D54" s="2" t="inlineStr">
        <is>
          <t xml:space="preserve">Groceries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Medical &amp;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Grocery – Publix</t>
        </is>
      </c>
      <c r="D70" s="2" t="inlineStr">
        <is>
          <t xml:space="preserve">Groceries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&amp; Pharmacy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Grocery – Lowes Foods</t>
        </is>
      </c>
      <c r="D83" s="2" t="inlineStr">
        <is>
          <t xml:space="preserve">Groceries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Grocery – Lowes Foods</t>
        </is>
      </c>
      <c r="D87" s="2" t="inlineStr">
        <is>
          <t xml:space="preserve">Groceries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Grocery – Lowes Foods</t>
        </is>
      </c>
      <c r="D93" s="2" t="inlineStr">
        <is>
          <t xml:space="preserve">Groceries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Medical &amp;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Haircuts – The Color Bar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Grocery – Lowes Foods</t>
        </is>
      </c>
      <c r="D104" s="2" t="inlineStr">
        <is>
          <t xml:space="preserve">Groceries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Grocery – Lowes Foods</t>
        </is>
      </c>
      <c r="D105" s="2" t="inlineStr">
        <is>
          <t xml:space="preserve">Groceries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Grocery – Lowes Foods</t>
        </is>
      </c>
      <c r="D109" s="2" t="inlineStr">
        <is>
          <t xml:space="preserve">Groceries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15086.64</v>
      </c>
    </row>
    <row r="112">
      <c r="D112" s="7" t="inlineStr">
        <is>
          <t xml:space="preserve">Not counted (Excluded)</t>
        </is>
      </c>
      <c r="E112" s="6">
        <f>SUMIF(D4:D110,"Excluded",E4:E110)</f>
        <v>7897.08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Retail – Cat on a Whisk</t>
        </is>
      </c>
      <c r="D5" s="2" t="inlineStr">
        <is>
          <t xml:space="preserve">Retail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Restaurants &amp; Takeout</t>
        </is>
      </c>
      <c r="H6" s="3">
        <f>SUMIF($C$4:$C$88,G6,$E$4:$E$88)</f>
        <v>848.05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&amp; Pharmacy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Banner Life Insurance</t>
        </is>
      </c>
      <c r="H7" s="3">
        <f>SUMIF($C$4:$C$88,G7,$E$4:$E$88)</f>
        <v>710.06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Grocery – Publix</t>
        </is>
      </c>
      <c r="H8" s="3">
        <f>SUMIF($C$4:$C$88,G8,$E$4:$E$88)</f>
        <v>630.65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Grocery – Lowes Foods</t>
        </is>
      </c>
      <c r="H9" s="3">
        <f>SUMIF($C$4:$C$88,G9,$E$4:$E$88)</f>
        <v>571.85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Grocery – Lowes Foods</t>
        </is>
      </c>
      <c r="D13" s="2" t="inlineStr">
        <is>
          <t xml:space="preserve">Groceries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Grocery – Publix</t>
        </is>
      </c>
      <c r="D16" s="2" t="inlineStr">
        <is>
          <t xml:space="preserve">Groceries</t>
        </is>
      </c>
      <c r="E16" s="3">
        <v>98.73</v>
      </c>
      <c r="G16" s="2" t="inlineStr">
        <is>
          <t xml:space="preserve">Student Loan (Dept of Education)</t>
        </is>
      </c>
      <c r="H16" s="3">
        <f>SUMIF($C$4:$C$88,G16,$E$4:$E$88)</f>
        <v>160.37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Medical &amp; Pharmacy</t>
        </is>
      </c>
      <c r="H17" s="3">
        <f>SUMIF($C$4:$C$88,G17,$E$4:$E$88)</f>
        <v>160.28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Grocery – Lowes Foods</t>
        </is>
      </c>
      <c r="D18" s="2" t="inlineStr">
        <is>
          <t xml:space="preserve">Groceries</t>
        </is>
      </c>
      <c r="E18" s="3">
        <v>53.9</v>
      </c>
      <c r="G18" s="2" t="inlineStr">
        <is>
          <t xml:space="preserve">Cash (ATM) &amp; Bank Fees</t>
        </is>
      </c>
      <c r="H18" s="3">
        <f>SUMIF($C$4:$C$88,G18,$E$4:$E$88)</f>
        <v>147.0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Grocery – Lowes Foods</t>
        </is>
      </c>
      <c r="D19" s="2" t="inlineStr">
        <is>
          <t xml:space="preserve">Groceries</t>
        </is>
      </c>
      <c r="E19" s="3">
        <v>174.04</v>
      </c>
      <c r="G19" s="2" t="inlineStr">
        <is>
          <t xml:space="preserve">Streaming – YouTube TV (Google)</t>
        </is>
      </c>
      <c r="H19" s="3">
        <f>SUMIF($C$4:$C$88,G19,$E$4:$E$88)</f>
        <v>132.43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Transfers to People (Venmo/Zelle)</t>
        </is>
      </c>
      <c r="H20" s="3">
        <f>SUMIF($C$4:$C$88,G20,$E$4:$E$88)</f>
        <v>130.0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Yard Company (NextGen)</t>
        </is>
      </c>
      <c r="H21" s="3">
        <f>SUMIF($C$4:$C$88,G21,$E$4:$E$88)</f>
        <v>120.0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Retail – Local shops (Hippie Chick, Southport Spices, Mad River, Coastal Carolina)</t>
        </is>
      </c>
      <c r="H22" s="3">
        <f>SUMIF($C$4:$C$88,G22,$E$4:$E$88)</f>
        <v>119.97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– Simple Beauty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Personal Care – Simple Beauty</t>
        </is>
      </c>
      <c r="H25" s="3">
        <f>SUMIF($C$4:$C$88,G25,$E$4:$E$88)</f>
        <v>82.0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Internet – Focus Broadband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Grocery – Lowes Foods</t>
        </is>
      </c>
      <c r="D27" s="2" t="inlineStr">
        <is>
          <t xml:space="preserve">Groceries</t>
        </is>
      </c>
      <c r="E27" s="3">
        <v>28.23</v>
      </c>
      <c r="G27" s="2" t="inlineStr">
        <is>
          <t xml:space="preserve">Tolls &amp; Parking</t>
        </is>
      </c>
      <c r="H27" s="3">
        <f>SUMIF($C$4:$C$88,G27,$E$4:$E$88)</f>
        <v>74.24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Haircuts – The Color Bar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Life Insurance (Lincoln National)</t>
        </is>
      </c>
      <c r="H28" s="3">
        <f>SUMIF($C$4:$C$88,G28,$E$4:$E$88)</f>
        <v>73.61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Dental Insurance – Delta Dental</t>
        </is>
      </c>
      <c r="H29" s="3">
        <f>SUMIF($C$4:$C$88,G29,$E$4:$E$88)</f>
        <v>69.36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Retail – Marshalls</t>
        </is>
      </c>
      <c r="H30" s="3">
        <f>SUMIF($C$4:$C$88,G30,$E$4:$E$88)</f>
        <v>41.59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Hobby Lobby</t>
        </is>
      </c>
      <c r="H31" s="3">
        <f>SUMIF($C$4:$C$88,G31,$E$4:$E$88)</f>
        <v>37.33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Retail – Walmart</t>
        </is>
      </c>
      <c r="H32" s="3">
        <f>SUMIF($C$4:$C$88,G32,$E$4:$E$88)</f>
        <v>32.63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Haircuts – The Color Bar</t>
        </is>
      </c>
      <c r="H33" s="3">
        <f>SUMIF($C$4:$C$88,G33,$E$4:$E$88)</f>
        <v>32.5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121.64</v>
      </c>
      <c r="G34" s="2" t="inlineStr">
        <is>
          <t xml:space="preserve">Retail – Cat on a Whisk</t>
        </is>
      </c>
      <c r="H34" s="3">
        <f>SUMIF($C$4:$C$88,G34,$E$4:$E$88)</f>
        <v>24.51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Streaming – Frndly TV</t>
        </is>
      </c>
      <c r="H35" s="3">
        <f>SUMIF($C$4:$C$88,G35,$E$4:$E$88)</f>
        <v>22.41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2" t="inlineStr">
        <is>
          <t xml:space="preserve">Streaming – Disney (via Roku)</t>
        </is>
      </c>
      <c r="H36" s="3">
        <f>SUMIF($C$4:$C$88,G36,$E$4:$E$88)</f>
        <v>20.27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  <c r="G37" s="2" t="inlineStr">
        <is>
          <t xml:space="preserve">Retail – Ross</t>
        </is>
      </c>
      <c r="H37" s="3">
        <f>SUMIF($C$4:$C$88,G37,$E$4:$E$88)</f>
        <v>16.32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2" t="inlineStr">
        <is>
          <t xml:space="preserve">Streaming – ESPN (Sept billed as Disney Plus)</t>
        </is>
      </c>
      <c r="H38" s="3">
        <f>SUMIF($C$4:$C$88,G38,$E$4:$E$88)</f>
        <v>13.87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Grocery – Lowes Foods</t>
        </is>
      </c>
      <c r="D39" s="2" t="inlineStr">
        <is>
          <t xml:space="preserve">Groceries</t>
        </is>
      </c>
      <c r="E39" s="3">
        <v>221.77</v>
      </c>
      <c r="G39" s="8" t="inlineStr">
        <is>
          <t xml:space="preserve">Total spending</t>
        </is>
      </c>
      <c r="H39" s="9">
        <f>SUM(H4:H38)</f>
        <v>11515.63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  <c r="G41" s="7" t="inlineStr">
        <is>
          <t xml:space="preserve">Not counted as spending</t>
        </is>
      </c>
      <c r="H41" s="7"/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  <c r="G42" s="2" t="inlineStr">
        <is>
          <t xml:space="preserve">Credit Card Payoff – American Express</t>
        </is>
      </c>
      <c r="H42" s="3">
        <f>SUMIF($C$4:$C$88,G42,$E$4:$E$88)</f>
        <v>4738.51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&amp; Pharmacy</t>
        </is>
      </c>
      <c r="D43" s="2" t="inlineStr">
        <is>
          <t xml:space="preserve">Health</t>
        </is>
      </c>
      <c r="E43" s="3">
        <v>100.28</v>
      </c>
      <c r="G43" s="2" t="inlineStr">
        <is>
          <t xml:space="preserve">WTW Health Premium (reimbursed by Via Benefits)</t>
        </is>
      </c>
      <c r="H43" s="3">
        <f>SUMIF($C$4:$C$88,G43,$E$4:$E$88)</f>
        <v>2576.0</v>
      </c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Grocery – Lowes Foods</t>
        </is>
      </c>
      <c r="D54" s="2" t="inlineStr">
        <is>
          <t xml:space="preserve">Groceries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Debt Payments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Tolls &amp; Parking</t>
        </is>
      </c>
      <c r="D58" s="2" t="inlineStr">
        <is>
          <t xml:space="preserve">Transportation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Grocery – Publix</t>
        </is>
      </c>
      <c r="D76" s="2" t="inlineStr">
        <is>
          <t xml:space="preserve">Groceries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Grocery – Publix</t>
        </is>
      </c>
      <c r="D85" s="2" t="inlineStr">
        <is>
          <t xml:space="preserve">Groceries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Grocery – Lowes Foods</t>
        </is>
      </c>
      <c r="E13" s="2" t="inlineStr">
        <is>
          <t xml:space="preserve">Groceries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Grocery – Lowes Foods</t>
        </is>
      </c>
      <c r="E22" s="2" t="inlineStr">
        <is>
          <t xml:space="preserve">Groceries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Grocery – Lowes Foods</t>
        </is>
      </c>
      <c r="E31" s="2" t="inlineStr">
        <is>
          <t xml:space="preserve">Groceries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Haircuts – The Color Bar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Grocery – Lowes Foods</t>
        </is>
      </c>
      <c r="E58" s="2" t="inlineStr">
        <is>
          <t xml:space="preserve">Groceries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Grocery – Lowes Foods</t>
        </is>
      </c>
      <c r="E65" s="2" t="inlineStr">
        <is>
          <t xml:space="preserve">Groceries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Debt Payments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Grocery – Lowes Foods</t>
        </is>
      </c>
      <c r="E70" s="2" t="inlineStr">
        <is>
          <t xml:space="preserve">Groceries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Grocery – Publix</t>
        </is>
      </c>
      <c r="E75" s="2" t="inlineStr">
        <is>
          <t xml:space="preserve">Groceries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Other Food Stores (Harris Teeter, Beach Pantry)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Other Food Stores (Harris Teeter, Beach Pantry)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Grocery – Lowes Foods</t>
        </is>
      </c>
      <c r="E85" s="2" t="inlineStr">
        <is>
          <t xml:space="preserve">Groceries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Medical &amp;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Medical &amp;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Grocery – Lowes Foods</t>
        </is>
      </c>
      <c r="E115" s="2" t="inlineStr">
        <is>
          <t xml:space="preserve">Groceries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Haircuts – The Color Bar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Grocery – Lowes Foods</t>
        </is>
      </c>
      <c r="E127" s="2" t="inlineStr">
        <is>
          <t xml:space="preserve">Groceries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Grocery – Lowes Foods</t>
        </is>
      </c>
      <c r="E140" s="2" t="inlineStr">
        <is>
          <t xml:space="preserve">Groceries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Grocery – Publix</t>
        </is>
      </c>
      <c r="E142" s="2" t="inlineStr">
        <is>
          <t xml:space="preserve">Groceries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Medical &amp;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Restaurants &amp; Takeout</t>
        </is>
      </c>
      <c r="E150" s="2" t="inlineStr">
        <is>
          <t xml:space="preserve">Food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Grocery – Publix</t>
        </is>
      </c>
      <c r="E151" s="2" t="inlineStr">
        <is>
          <t xml:space="preserve">Groceries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Restaurants &amp; Takeout</t>
        </is>
      </c>
      <c r="E153" s="2" t="inlineStr">
        <is>
          <t xml:space="preserve">Food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Restaurants &amp; Takeout</t>
        </is>
      </c>
      <c r="E159" s="2" t="inlineStr">
        <is>
          <t xml:space="preserve">Food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Grocery – Publix</t>
        </is>
      </c>
      <c r="E162" s="2" t="inlineStr">
        <is>
          <t xml:space="preserve">Groceries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Grocery – Publix</t>
        </is>
      </c>
      <c r="E166" s="2" t="inlineStr">
        <is>
          <t xml:space="preserve">Groceries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Grocery – Lowes Foods</t>
        </is>
      </c>
      <c r="E175" s="2" t="inlineStr">
        <is>
          <t xml:space="preserve">Groceries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Grocery – Lowes Foods</t>
        </is>
      </c>
      <c r="E179" s="2" t="inlineStr">
        <is>
          <t xml:space="preserve">Groceries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Grocery – Lowes Foods</t>
        </is>
      </c>
      <c r="E180" s="2" t="inlineStr">
        <is>
          <t xml:space="preserve">Groceries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Medical &amp;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Grocery – Lowes Foods</t>
        </is>
      </c>
      <c r="E186" s="2" t="inlineStr">
        <is>
          <t xml:space="preserve">Groceries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Grocery – Lowes Foods</t>
        </is>
      </c>
      <c r="E194" s="2" t="inlineStr">
        <is>
          <t xml:space="preserve">Groceries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Debt Payments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Grocery – Lowes Foods</t>
        </is>
      </c>
      <c r="E206" s="2" t="inlineStr">
        <is>
          <t xml:space="preserve">Groceries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Grocery – Lowes Foods</t>
        </is>
      </c>
      <c r="E208" s="2" t="inlineStr">
        <is>
          <t xml:space="preserve">Groceries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Grocery – Publix</t>
        </is>
      </c>
      <c r="E216" s="2" t="inlineStr">
        <is>
          <t xml:space="preserve">Groceries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Grocery – Publix</t>
        </is>
      </c>
      <c r="E218" s="2" t="inlineStr">
        <is>
          <t xml:space="preserve">Groceries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Grocery – Lowes Foods</t>
        </is>
      </c>
      <c r="E220" s="2" t="inlineStr">
        <is>
          <t xml:space="preserve">Groceries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Grocery – Publix</t>
        </is>
      </c>
      <c r="E226" s="2" t="inlineStr">
        <is>
          <t xml:space="preserve">Groceries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Medical &amp;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Grocery – Food Lion</t>
        </is>
      </c>
      <c r="E234" s="2" t="inlineStr">
        <is>
          <t xml:space="preserve">Groceries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Grocery – Publix</t>
        </is>
      </c>
      <c r="E253" s="2" t="inlineStr">
        <is>
          <t xml:space="preserve">Groceries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Haircuts – The Color Bar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&amp; Pharmacy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Other Food Stores (Harris Teeter, Beach Pantry)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Medical &amp;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Grocery – Publix</t>
        </is>
      </c>
      <c r="E284" s="2" t="inlineStr">
        <is>
          <t xml:space="preserve">Groceries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Grocery – Lowes Foods</t>
        </is>
      </c>
      <c r="E288" s="2" t="inlineStr">
        <is>
          <t xml:space="preserve">Groceries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Grocery – Food Lion</t>
        </is>
      </c>
      <c r="E291" s="2" t="inlineStr">
        <is>
          <t xml:space="preserve">Groceries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Grocery – Publix</t>
        </is>
      </c>
      <c r="E295" s="2" t="inlineStr">
        <is>
          <t xml:space="preserve">Groceries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Medical &amp;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Grocery – Lowes Foods</t>
        </is>
      </c>
      <c r="E299" s="2" t="inlineStr">
        <is>
          <t xml:space="preserve">Groceries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Grocery – Publix</t>
        </is>
      </c>
      <c r="E311" s="2" t="inlineStr">
        <is>
          <t xml:space="preserve">Groceries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&amp; Pharmacy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Debt Payments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Grocery – Lowes Foods</t>
        </is>
      </c>
      <c r="E324" s="2" t="inlineStr">
        <is>
          <t xml:space="preserve">Groceries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Grocery – Lowes Foods</t>
        </is>
      </c>
      <c r="E328" s="2" t="inlineStr">
        <is>
          <t xml:space="preserve">Groceries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Grocery – Lowes Foods</t>
        </is>
      </c>
      <c r="E334" s="2" t="inlineStr">
        <is>
          <t xml:space="preserve">Groceries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Medical &amp;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Haircuts – The Color Bar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Grocery – Lowes Foods</t>
        </is>
      </c>
      <c r="E345" s="2" t="inlineStr">
        <is>
          <t xml:space="preserve">Groceries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Grocery – Lowes Foods</t>
        </is>
      </c>
      <c r="E346" s="2" t="inlineStr">
        <is>
          <t xml:space="preserve">Groceries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Grocery – Lowes Foods</t>
        </is>
      </c>
      <c r="E350" s="2" t="inlineStr">
        <is>
          <t xml:space="preserve">Groceries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Retail – Cat on a Whisk</t>
        </is>
      </c>
      <c r="E353" s="2" t="inlineStr">
        <is>
          <t xml:space="preserve">Retail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&amp; Pharmacy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Grocery – Lowes Foods</t>
        </is>
      </c>
      <c r="E361" s="2" t="inlineStr">
        <is>
          <t xml:space="preserve">Groceries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Grocery – Publix</t>
        </is>
      </c>
      <c r="E364" s="2" t="inlineStr">
        <is>
          <t xml:space="preserve">Groceries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Grocery – Lowes Foods</t>
        </is>
      </c>
      <c r="E366" s="2" t="inlineStr">
        <is>
          <t xml:space="preserve">Groceries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Grocery – Lowes Foods</t>
        </is>
      </c>
      <c r="E367" s="2" t="inlineStr">
        <is>
          <t xml:space="preserve">Groceries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– Simple Beauty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Grocery – Lowes Foods</t>
        </is>
      </c>
      <c r="E375" s="2" t="inlineStr">
        <is>
          <t xml:space="preserve">Groceries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Haircuts – The Color Bar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Grocery – Publix</t>
        </is>
      </c>
      <c r="E382" s="2" t="inlineStr">
        <is>
          <t xml:space="preserve">Groceries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Grocery – Lowes Foods</t>
        </is>
      </c>
      <c r="E387" s="2" t="inlineStr">
        <is>
          <t xml:space="preserve">Groceries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&amp; Pharmacy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Grocery – Lowes Foods</t>
        </is>
      </c>
      <c r="E402" s="2" t="inlineStr">
        <is>
          <t xml:space="preserve">Groceries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Debt Payments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Restaurants &amp; Takeout</t>
        </is>
      </c>
      <c r="E404" s="2" t="inlineStr">
        <is>
          <t xml:space="preserve">Food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Tolls &amp; Parking</t>
        </is>
      </c>
      <c r="E406" s="2" t="inlineStr">
        <is>
          <t xml:space="preserve">Transportation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Grocery – Publix</t>
        </is>
      </c>
      <c r="E424" s="2" t="inlineStr">
        <is>
          <t xml:space="preserve">Groceries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Grocery – Publix</t>
        </is>
      </c>
      <c r="E433" s="2" t="inlineStr">
        <is>
          <t xml:space="preserve">Groceries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