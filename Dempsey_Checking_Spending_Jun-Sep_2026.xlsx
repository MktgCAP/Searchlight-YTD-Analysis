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173.24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SUM(G7:G9)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387.61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12" t="inlineStr">
        <is>
          <t xml:space="preserve">Health Premium – WTW / Via Benefits</t>
        </is>
      </c>
      <c r="B18" s="3">
        <f>SUMIFS('All Transactions'!$F$5:$F$436,'All Transactions'!$D$5:$D$436,$A18,'All Transactions'!$A$5:$A$436,B$4)</f>
        <v>2576.0</v>
      </c>
      <c r="C18" s="3">
        <f>SUMIFS('All Transactions'!$F$5:$F$436,'All Transactions'!$D$5:$D$436,$A18,'All Transactions'!$A$5:$A$436,C$4)</f>
        <v>2576.0</v>
      </c>
      <c r="D18" s="3">
        <f>SUMIFS('All Transactions'!$F$5:$F$436,'All Transactions'!$D$5:$D$436,$A18,'All Transactions'!$A$5:$A$436,D$4)</f>
        <v>2576.0</v>
      </c>
      <c r="E18" s="3">
        <f>SUMIFS('All Transactions'!$F$5:$F$436,'All Transactions'!$D$5:$D$436,$A18,'All Transactions'!$A$5:$A$436,E$4)</f>
        <v>2576.0</v>
      </c>
      <c r="F18" s="3">
        <f>SUM(B18:E18)</f>
        <v>10304.0</v>
      </c>
      <c r="G18" s="3">
        <f>F18/4</f>
        <v>2576.0</v>
      </c>
    </row>
    <row r="19">
      <c r="A19" s="7" t="inlineStr">
        <is>
          <t xml:space="preserve">Total Insurance</t>
        </is>
      </c>
      <c r="B19" s="6">
        <f>SUM(B13:B18)</f>
        <v>4011.3</v>
      </c>
      <c r="C19" s="6">
        <f>SUM(C13:C18)</f>
        <v>3789.45</v>
      </c>
      <c r="D19" s="6">
        <f>SUM(D13:D18)</f>
        <v>4336.95</v>
      </c>
      <c r="E19" s="6">
        <f>SUM(E13:E18)</f>
        <v>3999.45</v>
      </c>
      <c r="F19" s="6">
        <f>SUM(F13:F18)</f>
        <v>16137.15</v>
      </c>
      <c r="G19" s="6">
        <f>SUM(G13:G18)</f>
        <v>4034.29</v>
      </c>
    </row>
    <row r="21">
      <c r="A21" s="5" t="inlineStr">
        <is>
          <t xml:space="preserve">Utilities</t>
        </is>
      </c>
    </row>
    <row r="22">
      <c r="A22" s="12" t="inlineStr">
        <is>
          <t xml:space="preserve">Utility – Electric (BEMC)</t>
        </is>
      </c>
      <c r="B22" s="3">
        <f>SUMIFS('All Transactions'!$F$5:$F$436,'All Transactions'!$D$5:$D$436,$A22,'All Transactions'!$A$5:$A$436,B$4)</f>
        <v>0</v>
      </c>
      <c r="C22" s="3">
        <f>SUMIFS('All Transactions'!$F$5:$F$436,'All Transactions'!$D$5:$D$436,$A22,'All Transactions'!$A$5:$A$436,C$4)</f>
        <v>336.35</v>
      </c>
      <c r="D22" s="3">
        <f>SUMIFS('All Transactions'!$F$5:$F$436,'All Transactions'!$D$5:$D$436,$A22,'All Transactions'!$A$5:$A$436,D$4)</f>
        <v>406.96</v>
      </c>
      <c r="E22" s="3">
        <f>SUMIFS('All Transactions'!$F$5:$F$436,'All Transactions'!$D$5:$D$436,$A22,'All Transactions'!$A$5:$A$436,E$4)</f>
        <v>419.66</v>
      </c>
      <c r="F22" s="3">
        <f>SUM(B22:E22)</f>
        <v>1162.97</v>
      </c>
      <c r="G22" s="3">
        <f>F22/4</f>
        <v>290.74</v>
      </c>
    </row>
    <row r="23">
      <c r="A23" s="12" t="inlineStr">
        <is>
          <t xml:space="preserve">Utility – Water/Sewer (Brunswick County)</t>
        </is>
      </c>
      <c r="B23" s="3">
        <f>SUMIFS('All Transactions'!$F$5:$F$436,'All Transactions'!$D$5:$D$436,$A23,'All Transactions'!$A$5:$A$436,B$4)</f>
        <v>78.84</v>
      </c>
      <c r="C23" s="3">
        <f>SUMIFS('All Transactions'!$F$5:$F$436,'All Transactions'!$D$5:$D$436,$A23,'All Transactions'!$A$5:$A$436,C$4)</f>
        <v>0</v>
      </c>
      <c r="D23" s="3">
        <f>SUMIFS('All Transactions'!$F$5:$F$436,'All Transactions'!$D$5:$D$436,$A23,'All Transactions'!$A$5:$A$436,D$4)</f>
        <v>179.33</v>
      </c>
      <c r="E23" s="3">
        <f>SUMIFS('All Transactions'!$F$5:$F$436,'All Transactions'!$D$5:$D$436,$A23,'All Transactions'!$A$5:$A$436,E$4)</f>
        <v>84.26</v>
      </c>
      <c r="F23" s="3">
        <f>SUM(B23:E23)</f>
        <v>342.43</v>
      </c>
      <c r="G23" s="3">
        <f>F23/4</f>
        <v>85.61</v>
      </c>
    </row>
    <row r="24">
      <c r="A24" s="12" t="inlineStr">
        <is>
          <t xml:space="preserve">Utility – Internet (Focus Broadband)</t>
        </is>
      </c>
      <c r="B24" s="3">
        <f>SUMIFS('All Transactions'!$F$5:$F$436,'All Transactions'!$D$5:$D$436,$A24,'All Transactions'!$A$5:$A$436,B$4)</f>
        <v>80.79</v>
      </c>
      <c r="C24" s="3">
        <f>SUMIFS('All Transactions'!$F$5:$F$436,'All Transactions'!$D$5:$D$436,$A24,'All Transactions'!$A$5:$A$436,C$4)</f>
        <v>0</v>
      </c>
      <c r="D24" s="3">
        <f>SUMIFS('All Transactions'!$F$5:$F$436,'All Transactions'!$D$5:$D$436,$A24,'All Transactions'!$A$5:$A$436,D$4)</f>
        <v>161.58</v>
      </c>
      <c r="E24" s="3">
        <f>SUMIFS('All Transactions'!$F$5:$F$436,'All Transactions'!$D$5:$D$436,$A24,'All Transactions'!$A$5:$A$436,E$4)</f>
        <v>80.79</v>
      </c>
      <c r="F24" s="3">
        <f>SUM(B24:E24)</f>
        <v>323.16</v>
      </c>
      <c r="G24" s="3">
        <f>F24/4</f>
        <v>80.79</v>
      </c>
    </row>
    <row r="25">
      <c r="A25" s="12" t="inlineStr">
        <is>
          <t xml:space="preserve">Verizon Wireless</t>
        </is>
      </c>
      <c r="B25" s="3">
        <f>SUMIFS('All Transactions'!$F$5:$F$436,'All Transactions'!$D$5:$D$436,$A25,'All Transactions'!$A$5:$A$436,B$4)</f>
        <v>294.57</v>
      </c>
      <c r="C25" s="3">
        <f>SUMIFS('All Transactions'!$F$5:$F$436,'All Transactions'!$D$5:$D$436,$A25,'All Transactions'!$A$5:$A$436,C$4)</f>
        <v>294.8</v>
      </c>
      <c r="D25" s="3">
        <f>SUMIFS('All Transactions'!$F$5:$F$436,'All Transactions'!$D$5:$D$436,$A25,'All Transactions'!$A$5:$A$436,D$4)</f>
        <v>436.02</v>
      </c>
      <c r="E25" s="3">
        <f>SUMIFS('All Transactions'!$F$5:$F$436,'All Transactions'!$D$5:$D$436,$A25,'All Transactions'!$A$5:$A$436,E$4)</f>
        <v>386.85</v>
      </c>
      <c r="F25" s="3">
        <f>SUM(B25:E25)</f>
        <v>1412.24</v>
      </c>
      <c r="G25" s="3">
        <f>F25/4</f>
        <v>353.06</v>
      </c>
    </row>
    <row r="26">
      <c r="A26" s="7" t="inlineStr">
        <is>
          <t xml:space="preserve">Total Utilities</t>
        </is>
      </c>
      <c r="B26" s="6">
        <f>SUM(B22:B25)</f>
        <v>454.2</v>
      </c>
      <c r="C26" s="6">
        <f>SUM(C22:C25)</f>
        <v>631.15</v>
      </c>
      <c r="D26" s="6">
        <f>SUM(D22:D25)</f>
        <v>1183.89</v>
      </c>
      <c r="E26" s="6">
        <f>SUM(E22:E25)</f>
        <v>971.56</v>
      </c>
      <c r="F26" s="6">
        <f>SUM(F22:F25)</f>
        <v>3240.8</v>
      </c>
      <c r="G26" s="6">
        <f>SUM(G22:G25)</f>
        <v>810.2</v>
      </c>
    </row>
    <row r="28">
      <c r="A28" s="5" t="inlineStr">
        <is>
          <t xml:space="preserve">Debt Payments</t>
        </is>
      </c>
    </row>
    <row r="29">
      <c r="A29" s="12" t="inlineStr">
        <is>
          <t xml:space="preserve">Credit Card – American Express</t>
        </is>
      </c>
      <c r="B29" s="3">
        <f>SUMIFS('All Transactions'!$F$5:$F$436,'All Transactions'!$D$5:$D$436,$A29,'All Transactions'!$A$5:$A$436,B$4)</f>
        <v>0</v>
      </c>
      <c r="C29" s="3">
        <f>SUMIFS('All Transactions'!$F$5:$F$436,'All Transactions'!$D$5:$D$436,$A29,'All Transactions'!$A$5:$A$436,C$4)</f>
        <v>7227.09</v>
      </c>
      <c r="D29" s="3">
        <f>SUMIFS('All Transactions'!$F$5:$F$436,'All Transactions'!$D$5:$D$436,$A29,'All Transactions'!$A$5:$A$436,D$4)</f>
        <v>4593.08</v>
      </c>
      <c r="E29" s="3">
        <f>SUMIFS('All Transactions'!$F$5:$F$436,'All Transactions'!$D$5:$D$436,$A29,'All Transactions'!$A$5:$A$436,E$4)</f>
        <v>4738.51</v>
      </c>
      <c r="F29" s="3">
        <f>SUM(B29:E29)</f>
        <v>16558.68</v>
      </c>
      <c r="G29" s="3">
        <f>F29/4</f>
        <v>4139.67</v>
      </c>
    </row>
    <row r="30">
      <c r="A30" s="12" t="inlineStr">
        <is>
          <t xml:space="preserve">Credit Card – Belk (Synchrony)</t>
        </is>
      </c>
      <c r="B30" s="3">
        <f>SUMIFS('All Transactions'!$F$5:$F$436,'All Transactions'!$D$5:$D$436,$A30,'All Transactions'!$A$5:$A$436,B$4)</f>
        <v>386.69</v>
      </c>
      <c r="C30" s="3">
        <f>SUMIFS('All Transactions'!$F$5:$F$436,'All Transactions'!$D$5:$D$436,$A30,'All Transactions'!$A$5:$A$436,C$4)</f>
        <v>948.04</v>
      </c>
      <c r="D30" s="3">
        <f>SUMIFS('All Transactions'!$F$5:$F$436,'All Transactions'!$D$5:$D$436,$A30,'All Transactions'!$A$5:$A$436,D$4)</f>
        <v>0</v>
      </c>
      <c r="E30" s="3">
        <f>SUMIFS('All Transactions'!$F$5:$F$436,'All Transactions'!$D$5:$D$436,$A30,'All Transactions'!$A$5:$A$436,E$4)</f>
        <v>0</v>
      </c>
      <c r="F30" s="3">
        <f>SUM(B30:E30)</f>
        <v>1334.73</v>
      </c>
      <c r="G30" s="3">
        <f>F30/4</f>
        <v>333.68</v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Debt Payments</t>
        </is>
      </c>
      <c r="B32" s="6">
        <f>SUM(B29:B31)</f>
        <v>547.06</v>
      </c>
      <c r="C32" s="6">
        <f>SUM(C29:C31)</f>
        <v>8335.5</v>
      </c>
      <c r="D32" s="6">
        <f>SUM(D29:D31)</f>
        <v>4753.45</v>
      </c>
      <c r="E32" s="6">
        <f>SUM(E29:E31)</f>
        <v>4898.88</v>
      </c>
      <c r="F32" s="6">
        <f>SUM(F29:F31)</f>
        <v>18534.89</v>
      </c>
      <c r="G32" s="6">
        <f>SUM(G29:G31)</f>
        <v>4633.72</v>
      </c>
    </row>
    <row r="34">
      <c r="A34" s="5" t="inlineStr">
        <is>
          <t xml:space="preserve">Food</t>
        </is>
      </c>
    </row>
    <row r="35">
      <c r="A35" s="12" t="inlineStr">
        <is>
          <t xml:space="preserve">Groceries</t>
        </is>
      </c>
      <c r="B35" s="3">
        <f>SUMIFS('All Transactions'!$F$5:$F$436,'All Transactions'!$D$5:$D$436,$A35,'All Transactions'!$A$5:$A$436,B$4)</f>
        <v>1529.75</v>
      </c>
      <c r="C35" s="3">
        <f>SUMIFS('All Transactions'!$F$5:$F$436,'All Transactions'!$D$5:$D$436,$A35,'All Transactions'!$A$5:$A$436,C$4)</f>
        <v>1279.24</v>
      </c>
      <c r="D35" s="3">
        <f>SUMIFS('All Transactions'!$F$5:$F$436,'All Transactions'!$D$5:$D$436,$A35,'All Transactions'!$A$5:$A$436,D$4)</f>
        <v>1190.12</v>
      </c>
      <c r="E35" s="3">
        <f>SUMIFS('All Transactions'!$F$5:$F$436,'All Transactions'!$D$5:$D$436,$A35,'All Transactions'!$A$5:$A$436,E$4)</f>
        <v>1202.5</v>
      </c>
      <c r="F35" s="3">
        <f>SUM(B35:E35)</f>
        <v>5201.61</v>
      </c>
      <c r="G35" s="3">
        <f>F35/4</f>
        <v>1300.4</v>
      </c>
    </row>
    <row r="36">
      <c r="A36" s="12" t="inlineStr">
        <is>
          <t xml:space="preserve">Restaurants &amp; Takeout</t>
        </is>
      </c>
      <c r="B36" s="3">
        <f>SUMIFS('All Transactions'!$F$5:$F$436,'All Transactions'!$D$5:$D$436,$A36,'All Transactions'!$A$5:$A$436,B$4)</f>
        <v>1019.45</v>
      </c>
      <c r="C36" s="3">
        <f>SUMIFS('All Transactions'!$F$5:$F$436,'All Transactions'!$D$5:$D$436,$A36,'All Transactions'!$A$5:$A$436,C$4)</f>
        <v>935.1</v>
      </c>
      <c r="D36" s="3">
        <f>SUMIFS('All Transactions'!$F$5:$F$436,'All Transactions'!$D$5:$D$436,$A36,'All Transactions'!$A$5:$A$436,D$4)</f>
        <v>962.62</v>
      </c>
      <c r="E36" s="3">
        <f>SUMIFS('All Transactions'!$F$5:$F$436,'All Transactions'!$D$5:$D$436,$A36,'All Transactions'!$A$5:$A$436,E$4)</f>
        <v>872.56</v>
      </c>
      <c r="F36" s="3">
        <f>SUM(B36:E36)</f>
        <v>3789.73</v>
      </c>
      <c r="G36" s="3">
        <f>F36/4</f>
        <v>947.43</v>
      </c>
    </row>
    <row r="37">
      <c r="A37" s="7" t="inlineStr">
        <is>
          <t xml:space="preserve">Total Food</t>
        </is>
      </c>
      <c r="B37" s="6">
        <f>SUM(B35:B36)</f>
        <v>2549.2</v>
      </c>
      <c r="C37" s="6">
        <f>SUM(C35:C36)</f>
        <v>2214.34</v>
      </c>
      <c r="D37" s="6">
        <f>SUM(D35:D36)</f>
        <v>2152.74</v>
      </c>
      <c r="E37" s="6">
        <f>SUM(E35:E36)</f>
        <v>2075.06</v>
      </c>
      <c r="F37" s="6">
        <f>SUM(F35:F36)</f>
        <v>8991.34</v>
      </c>
      <c r="G37" s="6">
        <f>SUM(G35:G36)</f>
        <v>2247.83</v>
      </c>
    </row>
    <row r="39">
      <c r="A39" s="5" t="inlineStr">
        <is>
          <t xml:space="preserve">Transportation</t>
        </is>
      </c>
    </row>
    <row r="40">
      <c r="A40" s="12" t="inlineStr">
        <is>
          <t xml:space="preserve">Gas &amp; Convenience Stores</t>
        </is>
      </c>
      <c r="B40" s="3">
        <f>SUMIFS('All Transactions'!$F$5:$F$436,'All Transactions'!$D$5:$D$436,$A40,'All Transactions'!$A$5:$A$436,B$4)</f>
        <v>108.9</v>
      </c>
      <c r="C40" s="3">
        <f>SUMIFS('All Transactions'!$F$5:$F$436,'All Transactions'!$D$5:$D$436,$A40,'All Transactions'!$A$5:$A$436,C$4)</f>
        <v>277.87</v>
      </c>
      <c r="D40" s="3">
        <f>SUMIFS('All Transactions'!$F$5:$F$436,'All Transactions'!$D$5:$D$436,$A40,'All Transactions'!$A$5:$A$436,D$4)</f>
        <v>167.24</v>
      </c>
      <c r="E40" s="3">
        <f>SUMIFS('All Transactions'!$F$5:$F$436,'All Transactions'!$D$5:$D$436,$A40,'All Transactions'!$A$5:$A$436,E$4)</f>
        <v>238.98</v>
      </c>
      <c r="F40" s="3">
        <f>SUM(B40:E40)</f>
        <v>792.99</v>
      </c>
      <c r="G40" s="3">
        <f>F40/4</f>
        <v>198.25</v>
      </c>
    </row>
    <row r="41">
      <c r="A41" s="12" t="inlineStr">
        <is>
          <t xml:space="preserve">Tolls &amp; Parking</t>
        </is>
      </c>
      <c r="B41" s="3">
        <f>SUMIFS('All Transactions'!$F$5:$F$436,'All Transactions'!$D$5:$D$436,$A41,'All Transactions'!$A$5:$A$436,B$4)</f>
        <v>5.84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18.44</v>
      </c>
      <c r="E41" s="3">
        <f>SUMIFS('All Transactions'!$F$5:$F$436,'All Transactions'!$D$5:$D$436,$A41,'All Transactions'!$A$5:$A$436,E$4)</f>
        <v>74.24</v>
      </c>
      <c r="F41" s="3">
        <f>SUM(B41:E41)</f>
        <v>98.52</v>
      </c>
      <c r="G41" s="3">
        <f>F41/4</f>
        <v>24.63</v>
      </c>
    </row>
    <row r="42">
      <c r="A42" s="7" t="inlineStr">
        <is>
          <t xml:space="preserve">Total Transportation</t>
        </is>
      </c>
      <c r="B42" s="6">
        <f>SUM(B40:B41)</f>
        <v>114.74</v>
      </c>
      <c r="C42" s="6">
        <f>SUM(C40:C41)</f>
        <v>277.87</v>
      </c>
      <c r="D42" s="6">
        <f>SUM(D40:D41)</f>
        <v>185.68</v>
      </c>
      <c r="E42" s="6">
        <f>SUM(E40:E41)</f>
        <v>313.22</v>
      </c>
      <c r="F42" s="6">
        <f>SUM(F40:F41)</f>
        <v>891.51</v>
      </c>
      <c r="G42" s="6">
        <f>SUM(G40:G41)</f>
        <v>222.88</v>
      </c>
    </row>
    <row r="44">
      <c r="A44" s="5" t="inlineStr">
        <is>
          <t xml:space="preserve">Subscriptions</t>
        </is>
      </c>
    </row>
    <row r="45">
      <c r="A45" s="12" t="inlineStr">
        <is>
          <t xml:space="preserve">Streaming TV</t>
        </is>
      </c>
      <c r="B45" s="3">
        <f>SUMIFS('All Transactions'!$F$5:$F$436,'All Transactions'!$D$5:$D$436,$A45,'All Transactions'!$A$5:$A$436,B$4)</f>
        <v>188.8</v>
      </c>
      <c r="C45" s="3">
        <f>SUMIFS('All Transactions'!$F$5:$F$436,'All Transactions'!$D$5:$D$436,$A45,'All Transactions'!$A$5:$A$436,C$4)</f>
        <v>201.6</v>
      </c>
      <c r="D45" s="3">
        <f>SUMIFS('All Transactions'!$F$5:$F$436,'All Transactions'!$D$5:$D$436,$A45,'All Transactions'!$A$5:$A$436,D$4)</f>
        <v>158.35</v>
      </c>
      <c r="E45" s="3">
        <f>SUMIFS('All Transactions'!$F$5:$F$436,'All Transactions'!$D$5:$D$436,$A45,'All Transactions'!$A$5:$A$436,E$4)</f>
        <v>188.98</v>
      </c>
      <c r="F45" s="3">
        <f>SUM(B45:E45)</f>
        <v>737.73</v>
      </c>
      <c r="G45" s="3">
        <f>F45/4</f>
        <v>184.43</v>
      </c>
    </row>
    <row r="46">
      <c r="A46" s="12" t="inlineStr">
        <is>
          <t xml:space="preserve">Software &amp; Online Subscriptions</t>
        </is>
      </c>
      <c r="B46" s="3">
        <f>SUMIFS('All Transactions'!$F$5:$F$436,'All Transactions'!$D$5:$D$436,$A46,'All Transactions'!$A$5:$A$436,B$4)</f>
        <v>141.73</v>
      </c>
      <c r="C46" s="3">
        <f>SUMIFS('All Transactions'!$F$5:$F$436,'All Transactions'!$D$5:$D$436,$A46,'All Transactions'!$A$5:$A$436,C$4)</f>
        <v>161.05</v>
      </c>
      <c r="D46" s="3">
        <f>SUMIFS('All Transactions'!$F$5:$F$436,'All Transactions'!$D$5:$D$436,$A46,'All Transactions'!$A$5:$A$436,D$4)</f>
        <v>65.98</v>
      </c>
      <c r="E46" s="3">
        <f>SUMIFS('All Transactions'!$F$5:$F$436,'All Transactions'!$D$5:$D$436,$A46,'All Transactions'!$A$5:$A$436,E$4)</f>
        <v>0</v>
      </c>
      <c r="F46" s="3">
        <f>SUM(B46:E46)</f>
        <v>368.76</v>
      </c>
      <c r="G46" s="3">
        <f>F46/4</f>
        <v>92.19</v>
      </c>
    </row>
    <row r="47">
      <c r="A47" s="7" t="inlineStr">
        <is>
          <t xml:space="preserve">Total Subscriptions</t>
        </is>
      </c>
      <c r="B47" s="6">
        <f>SUM(B45:B46)</f>
        <v>330.53</v>
      </c>
      <c r="C47" s="6">
        <f>SUM(C45:C46)</f>
        <v>362.65</v>
      </c>
      <c r="D47" s="6">
        <f>SUM(D45:D46)</f>
        <v>224.33</v>
      </c>
      <c r="E47" s="6">
        <f>SUM(E45:E46)</f>
        <v>188.98</v>
      </c>
      <c r="F47" s="6">
        <f>SUM(F45:F46)</f>
        <v>1106.49</v>
      </c>
      <c r="G47" s="6">
        <f>SUM(G45:G46)</f>
        <v>276.62</v>
      </c>
    </row>
    <row r="49">
      <c r="A49" s="5" t="inlineStr">
        <is>
          <t xml:space="preserve">Health</t>
        </is>
      </c>
    </row>
    <row r="50">
      <c r="A50" s="12" t="inlineStr">
        <is>
          <t xml:space="preserve">Medical &amp; Pharmacy</t>
        </is>
      </c>
      <c r="B50" s="3">
        <f>SUMIFS('All Transactions'!$F$5:$F$436,'All Transactions'!$D$5:$D$436,$A50,'All Transactions'!$A$5:$A$436,B$4)</f>
        <v>160.07</v>
      </c>
      <c r="C50" s="3">
        <f>SUMIFS('All Transactions'!$F$5:$F$436,'All Transactions'!$D$5:$D$436,$A50,'All Transactions'!$A$5:$A$436,C$4)</f>
        <v>100.93</v>
      </c>
      <c r="D50" s="3">
        <f>SUMIFS('All Transactions'!$F$5:$F$436,'All Transactions'!$D$5:$D$436,$A50,'All Transactions'!$A$5:$A$436,D$4)</f>
        <v>850.9</v>
      </c>
      <c r="E50" s="3">
        <f>SUMIFS('All Transactions'!$F$5:$F$436,'All Transactions'!$D$5:$D$436,$A50,'All Transactions'!$A$5:$A$436,E$4)</f>
        <v>160.28</v>
      </c>
      <c r="F50" s="3">
        <f>SUM(B50:E50)</f>
        <v>1272.18</v>
      </c>
      <c r="G50" s="3">
        <f>F50/4</f>
        <v>318.05</v>
      </c>
    </row>
    <row r="51">
      <c r="A51" s="7" t="inlineStr">
        <is>
          <t xml:space="preserve">Total Health</t>
        </is>
      </c>
      <c r="B51" s="6">
        <f>SUM(B50:B50)</f>
        <v>160.07</v>
      </c>
      <c r="C51" s="6">
        <f>SUM(C50:C50)</f>
        <v>100.93</v>
      </c>
      <c r="D51" s="6">
        <f>SUM(D50:D50)</f>
        <v>850.9</v>
      </c>
      <c r="E51" s="6">
        <f>SUM(E50:E50)</f>
        <v>160.28</v>
      </c>
      <c r="F51" s="6">
        <f>SUM(F50:F50)</f>
        <v>1272.18</v>
      </c>
      <c r="G51" s="6">
        <f>SUM(G50:G50)</f>
        <v>318.05</v>
      </c>
    </row>
    <row r="53">
      <c r="A53" s="5" t="inlineStr">
        <is>
          <t xml:space="preserve">Personal</t>
        </is>
      </c>
    </row>
    <row r="54">
      <c r="A54" s="12" t="inlineStr">
        <is>
          <t xml:space="preserve">Personal Care (Hair, Beauty)</t>
        </is>
      </c>
      <c r="B54" s="3">
        <f>SUMIFS('All Transactions'!$F$5:$F$436,'All Transactions'!$D$5:$D$436,$A54,'All Transactions'!$A$5:$A$436,B$4)</f>
        <v>368.52</v>
      </c>
      <c r="C54" s="3">
        <f>SUMIFS('All Transactions'!$F$5:$F$436,'All Transactions'!$D$5:$D$436,$A54,'All Transactions'!$A$5:$A$436,C$4)</f>
        <v>0</v>
      </c>
      <c r="D54" s="3">
        <f>SUMIFS('All Transactions'!$F$5:$F$436,'All Transactions'!$D$5:$D$436,$A54,'All Transactions'!$A$5:$A$436,D$4)</f>
        <v>182.5</v>
      </c>
      <c r="E54" s="3">
        <f>SUMIFS('All Transactions'!$F$5:$F$436,'All Transactions'!$D$5:$D$436,$A54,'All Transactions'!$A$5:$A$436,E$4)</f>
        <v>114.5</v>
      </c>
      <c r="F54" s="3">
        <f>SUM(B54:E54)</f>
        <v>665.52</v>
      </c>
      <c r="G54" s="3">
        <f>F54/4</f>
        <v>166.38</v>
      </c>
    </row>
    <row r="55">
      <c r="A55" s="7" t="inlineStr">
        <is>
          <t xml:space="preserve">Total Personal</t>
        </is>
      </c>
      <c r="B55" s="6">
        <f>SUM(B54:B54)</f>
        <v>368.52</v>
      </c>
      <c r="C55" s="6">
        <f>SUM(C54:C54)</f>
        <v>0</v>
      </c>
      <c r="D55" s="6">
        <f>SUM(D54:D54)</f>
        <v>182.5</v>
      </c>
      <c r="E55" s="6">
        <f>SUM(E54:E54)</f>
        <v>114.5</v>
      </c>
      <c r="F55" s="6">
        <f>SUM(F54:F54)</f>
        <v>665.52</v>
      </c>
      <c r="G55" s="6">
        <f>SUM(G54:G54)</f>
        <v>166.38</v>
      </c>
    </row>
    <row r="57">
      <c r="A57" s="5" t="inlineStr">
        <is>
          <t xml:space="preserve">Shopping</t>
        </is>
      </c>
    </row>
    <row r="58">
      <c r="A58" s="12" t="inlineStr">
        <is>
          <t xml:space="preserve">Shopping &amp; Household</t>
        </is>
      </c>
      <c r="B58" s="3">
        <f>SUMIFS('All Transactions'!$F$5:$F$436,'All Transactions'!$D$5:$D$436,$A58,'All Transactions'!$A$5:$A$436,B$4)</f>
        <v>215.04</v>
      </c>
      <c r="C58" s="3">
        <f>SUMIFS('All Transactions'!$F$5:$F$436,'All Transactions'!$D$5:$D$436,$A58,'All Transactions'!$A$5:$A$436,C$4)</f>
        <v>202.14</v>
      </c>
      <c r="D58" s="3">
        <f>SUMIFS('All Transactions'!$F$5:$F$436,'All Transactions'!$D$5:$D$436,$A58,'All Transactions'!$A$5:$A$436,D$4)</f>
        <v>2208.92</v>
      </c>
      <c r="E58" s="3">
        <f>SUMIFS('All Transactions'!$F$5:$F$436,'All Transactions'!$D$5:$D$436,$A58,'All Transactions'!$A$5:$A$436,E$4)</f>
        <v>247.84</v>
      </c>
      <c r="F58" s="3">
        <f>SUM(B58:E58)</f>
        <v>2873.94</v>
      </c>
      <c r="G58" s="3">
        <f>F58/4</f>
        <v>718.48</v>
      </c>
    </row>
    <row r="59">
      <c r="A59" s="7" t="inlineStr">
        <is>
          <t xml:space="preserve">Total Shopping</t>
        </is>
      </c>
      <c r="B59" s="6">
        <f>SUM(B58:B58)</f>
        <v>215.04</v>
      </c>
      <c r="C59" s="6">
        <f>SUM(C58:C58)</f>
        <v>202.14</v>
      </c>
      <c r="D59" s="6">
        <f>SUM(D58:D58)</f>
        <v>2208.92</v>
      </c>
      <c r="E59" s="6">
        <f>SUM(E58:E58)</f>
        <v>247.84</v>
      </c>
      <c r="F59" s="6">
        <f>SUM(F58:F58)</f>
        <v>2873.94</v>
      </c>
      <c r="G59" s="6">
        <f>SUM(G58:G58)</f>
        <v>718.48</v>
      </c>
    </row>
    <row r="61">
      <c r="A61" s="5" t="inlineStr">
        <is>
          <t xml:space="preserve">Home</t>
        </is>
      </c>
    </row>
    <row r="62">
      <c r="A62" s="12" t="inlineStr">
        <is>
          <t xml:space="preserve">Home Improvement (Lowe's)</t>
        </is>
      </c>
      <c r="B62" s="3">
        <f>SUMIFS('All Transactions'!$F$5:$F$436,'All Transactions'!$D$5:$D$436,$A62,'All Transactions'!$A$5:$A$436,B$4)</f>
        <v>27.67</v>
      </c>
      <c r="C62" s="3">
        <f>SUMIFS('All Transactions'!$F$5:$F$436,'All Transactions'!$D$5:$D$436,$A62,'All Transactions'!$A$5:$A$436,C$4)</f>
        <v>0</v>
      </c>
      <c r="D62" s="3">
        <f>SUMIFS('All Transactions'!$F$5:$F$436,'All Transactions'!$D$5:$D$436,$A62,'All Transactions'!$A$5:$A$436,D$4)</f>
        <v>171.55</v>
      </c>
      <c r="E62" s="3">
        <f>SUMIFS('All Transactions'!$F$5:$F$436,'All Transactions'!$D$5:$D$436,$A62,'All Transactions'!$A$5:$A$436,E$4)</f>
        <v>85.27</v>
      </c>
      <c r="F62" s="3">
        <f>SUM(B62:E62)</f>
        <v>284.49</v>
      </c>
      <c r="G62" s="3">
        <f>F62/4</f>
        <v>71.12</v>
      </c>
    </row>
    <row r="63">
      <c r="A63" s="12" t="inlineStr">
        <is>
          <t xml:space="preserve">Home Services (Cleaning, Pest, Lawn)</t>
        </is>
      </c>
      <c r="B63" s="3">
        <f>SUMIFS('All Transactions'!$F$5:$F$436,'All Transactions'!$D$5:$D$436,$A63,'All Transactions'!$A$5:$A$436,B$4)</f>
        <v>0</v>
      </c>
      <c r="C63" s="3">
        <f>SUMIFS('All Transactions'!$F$5:$F$436,'All Transactions'!$D$5:$D$436,$A63,'All Transactions'!$A$5:$A$436,C$4)</f>
        <v>242.05</v>
      </c>
      <c r="D63" s="3">
        <f>SUMIFS('All Transactions'!$F$5:$F$436,'All Transactions'!$D$5:$D$436,$A63,'All Transactions'!$A$5:$A$436,D$4)</f>
        <v>536.6</v>
      </c>
      <c r="E63" s="3">
        <f>SUMIFS('All Transactions'!$F$5:$F$436,'All Transactions'!$D$5:$D$436,$A63,'All Transactions'!$A$5:$A$436,E$4)</f>
        <v>0</v>
      </c>
      <c r="F63" s="3">
        <f>SUM(B63:E63)</f>
        <v>778.65</v>
      </c>
      <c r="G63" s="3">
        <f>F63/4</f>
        <v>194.66</v>
      </c>
    </row>
    <row r="64">
      <c r="A64" s="7" t="inlineStr">
        <is>
          <t xml:space="preserve">Total Home</t>
        </is>
      </c>
      <c r="B64" s="6">
        <f>SUM(B62:B63)</f>
        <v>27.67</v>
      </c>
      <c r="C64" s="6">
        <f>SUM(C62:C63)</f>
        <v>242.05</v>
      </c>
      <c r="D64" s="6">
        <f>SUM(D62:D63)</f>
        <v>708.15</v>
      </c>
      <c r="E64" s="6">
        <f>SUM(E62:E63)</f>
        <v>85.27</v>
      </c>
      <c r="F64" s="6">
        <f>SUM(F62:F63)</f>
        <v>1063.14</v>
      </c>
      <c r="G64" s="6">
        <f>SUM(G62:G63)</f>
        <v>265.78</v>
      </c>
    </row>
    <row r="66">
      <c r="A66" s="5" t="inlineStr">
        <is>
          <t xml:space="preserve">Travel</t>
        </is>
      </c>
    </row>
    <row r="67">
      <c r="A67" s="12" t="inlineStr">
        <is>
          <t xml:space="preserve">Travel (Lyft, Hotel, Rental)</t>
        </is>
      </c>
      <c r="B67" s="3">
        <f>SUMIFS('All Transactions'!$F$5:$F$436,'All Transactions'!$D$5:$D$436,$A67,'All Transactions'!$A$5:$A$436,B$4)</f>
        <v>102.65</v>
      </c>
      <c r="C67" s="3">
        <f>SUMIFS('All Transactions'!$F$5:$F$436,'All Transactions'!$D$5:$D$436,$A67,'All Transactions'!$A$5:$A$436,C$4)</f>
        <v>2891.98</v>
      </c>
      <c r="D67" s="3">
        <f>SUMIFS('All Transactions'!$F$5:$F$436,'All Transactions'!$D$5:$D$436,$A67,'All Transactions'!$A$5:$A$436,D$4)</f>
        <v>0</v>
      </c>
      <c r="E67" s="3">
        <f>SUMIFS('All Transactions'!$F$5:$F$436,'All Transactions'!$D$5:$D$436,$A67,'All Transactions'!$A$5:$A$436,E$4)</f>
        <v>0</v>
      </c>
      <c r="F67" s="3">
        <f>SUM(B67:E67)</f>
        <v>2994.63</v>
      </c>
      <c r="G67" s="3">
        <f>F67/4</f>
        <v>748.66</v>
      </c>
    </row>
    <row r="68">
      <c r="A68" s="7" t="inlineStr">
        <is>
          <t xml:space="preserve">Total Travel</t>
        </is>
      </c>
      <c r="B68" s="6">
        <f>SUM(B67:B67)</f>
        <v>102.65</v>
      </c>
      <c r="C68" s="6">
        <f>SUM(C67:C67)</f>
        <v>2891.98</v>
      </c>
      <c r="D68" s="6">
        <f>SUM(D67:D67)</f>
        <v>0</v>
      </c>
      <c r="E68" s="6">
        <f>SUM(E67:E67)</f>
        <v>0</v>
      </c>
      <c r="F68" s="6">
        <f>SUM(F67:F67)</f>
        <v>2994.63</v>
      </c>
      <c r="G68" s="6">
        <f>SUM(G67:G67)</f>
        <v>748.66</v>
      </c>
    </row>
    <row r="70">
      <c r="A70" s="5" t="inlineStr">
        <is>
          <t xml:space="preserve">Recreation</t>
        </is>
      </c>
    </row>
    <row r="71">
      <c r="A71" s="12" t="inlineStr">
        <is>
          <t xml:space="preserve">St. James Marina</t>
        </is>
      </c>
      <c r="B71" s="3">
        <f>SUMIFS('All Transactions'!$F$5:$F$436,'All Transactions'!$D$5:$D$436,$A71,'All Transactions'!$A$5:$A$436,B$4)</f>
        <v>0</v>
      </c>
      <c r="C71" s="3">
        <f>SUMIFS('All Transactions'!$F$5:$F$436,'All Transactions'!$D$5:$D$436,$A71,'All Transactions'!$A$5:$A$436,C$4)</f>
        <v>33.54</v>
      </c>
      <c r="D71" s="3">
        <f>SUMIFS('All Transactions'!$F$5:$F$436,'All Transactions'!$D$5:$D$436,$A71,'All Transactions'!$A$5:$A$436,D$4)</f>
        <v>0</v>
      </c>
      <c r="E71" s="3">
        <f>SUMIFS('All Transactions'!$F$5:$F$436,'All Transactions'!$D$5:$D$436,$A71,'All Transactions'!$A$5:$A$436,E$4)</f>
        <v>0</v>
      </c>
      <c r="F71" s="3">
        <f>SUM(B71:E71)</f>
        <v>33.54</v>
      </c>
      <c r="G71" s="3">
        <f>F71/4</f>
        <v>8.38</v>
      </c>
    </row>
    <row r="72">
      <c r="A72" s="12" t="inlineStr">
        <is>
          <t xml:space="preserve">Entertainment &amp; Events</t>
        </is>
      </c>
      <c r="B72" s="3">
        <f>SUMIFS('All Transactions'!$F$5:$F$436,'All Transactions'!$D$5:$D$436,$A72,'All Transactions'!$A$5:$A$436,B$4)</f>
        <v>0</v>
      </c>
      <c r="C72" s="3">
        <f>SUMIFS('All Transactions'!$F$5:$F$436,'All Transactions'!$D$5:$D$436,$A72,'All Transactions'!$A$5:$A$436,C$4)</f>
        <v>400.0</v>
      </c>
      <c r="D72" s="3">
        <f>SUMIFS('All Transactions'!$F$5:$F$436,'All Transactions'!$D$5:$D$436,$A72,'All Transactions'!$A$5:$A$436,D$4)</f>
        <v>13.5</v>
      </c>
      <c r="E72" s="3">
        <f>SUMIFS('All Transactions'!$F$5:$F$436,'All Transactions'!$D$5:$D$436,$A72,'All Transactions'!$A$5:$A$436,E$4)</f>
        <v>0</v>
      </c>
      <c r="F72" s="3">
        <f>SUM(B72:E72)</f>
        <v>413.5</v>
      </c>
      <c r="G72" s="3">
        <f>F72/4</f>
        <v>103.38</v>
      </c>
    </row>
    <row r="73">
      <c r="A73" s="7" t="inlineStr">
        <is>
          <t xml:space="preserve">Total Recreation</t>
        </is>
      </c>
      <c r="B73" s="6">
        <f>SUM(B71:B72)</f>
        <v>0</v>
      </c>
      <c r="C73" s="6">
        <f>SUM(C71:C72)</f>
        <v>433.54</v>
      </c>
      <c r="D73" s="6">
        <f>SUM(D71:D72)</f>
        <v>13.5</v>
      </c>
      <c r="E73" s="6">
        <f>SUM(E71:E72)</f>
        <v>0</v>
      </c>
      <c r="F73" s="6">
        <f>SUM(F71:F72)</f>
        <v>447.04</v>
      </c>
      <c r="G73" s="6">
        <f>SUM(G71:G72)</f>
        <v>111.76</v>
      </c>
    </row>
    <row r="75">
      <c r="A75" s="5" t="inlineStr">
        <is>
          <t xml:space="preserve">Transfers</t>
        </is>
      </c>
    </row>
    <row r="76">
      <c r="A76" s="12" t="inlineStr">
        <is>
          <t xml:space="preserve">Transfers to People (Venmo/Zelle)</t>
        </is>
      </c>
      <c r="B76" s="3">
        <f>SUMIFS('All Transactions'!$F$5:$F$436,'All Transactions'!$D$5:$D$436,$A76,'All Transactions'!$A$5:$A$436,B$4)</f>
        <v>75.0</v>
      </c>
      <c r="C76" s="3">
        <f>SUMIFS('All Transactions'!$F$5:$F$436,'All Transactions'!$D$5:$D$436,$A76,'All Transactions'!$A$5:$A$436,C$4)</f>
        <v>764.05</v>
      </c>
      <c r="D76" s="3">
        <f>SUMIFS('All Transactions'!$F$5:$F$436,'All Transactions'!$D$5:$D$436,$A76,'All Transactions'!$A$5:$A$436,D$4)</f>
        <v>331.5</v>
      </c>
      <c r="E76" s="3">
        <f>SUMIFS('All Transactions'!$F$5:$F$436,'All Transactions'!$D$5:$D$436,$A76,'All Transactions'!$A$5:$A$436,E$4)</f>
        <v>130.0</v>
      </c>
      <c r="F76" s="3">
        <f>SUM(B76:E76)</f>
        <v>1300.55</v>
      </c>
      <c r="G76" s="3">
        <f>F76/4</f>
        <v>325.14</v>
      </c>
    </row>
    <row r="77">
      <c r="A77" s="12" t="inlineStr">
        <is>
          <t xml:space="preserve">Transfer to Other WF Account</t>
        </is>
      </c>
      <c r="B77" s="3">
        <f>SUMIFS('All Transactions'!$F$5:$F$436,'All Transactions'!$D$5:$D$436,$A77,'All Transactions'!$A$5:$A$436,B$4)</f>
        <v>0</v>
      </c>
      <c r="C77" s="3">
        <f>SUMIFS('All Transactions'!$F$5:$F$436,'All Transactions'!$D$5:$D$436,$A77,'All Transactions'!$A$5:$A$436,C$4)</f>
        <v>3.26</v>
      </c>
      <c r="D77" s="3">
        <f>SUMIFS('All Transactions'!$F$5:$F$436,'All Transactions'!$D$5:$D$436,$A77,'All Transactions'!$A$5:$A$436,D$4)</f>
        <v>0</v>
      </c>
      <c r="E77" s="3">
        <f>SUMIFS('All Transactions'!$F$5:$F$436,'All Transactions'!$D$5:$D$436,$A77,'All Transactions'!$A$5:$A$436,E$4)</f>
        <v>0</v>
      </c>
      <c r="F77" s="3">
        <f>SUM(B77:E77)</f>
        <v>3.26</v>
      </c>
      <c r="G77" s="3">
        <f>F77/4</f>
        <v>0.81</v>
      </c>
    </row>
    <row r="78">
      <c r="A78" s="7" t="inlineStr">
        <is>
          <t xml:space="preserve">Total Transfers</t>
        </is>
      </c>
      <c r="B78" s="6">
        <f>SUM(B76:B77)</f>
        <v>75.0</v>
      </c>
      <c r="C78" s="6">
        <f>SUM(C76:C77)</f>
        <v>767.31</v>
      </c>
      <c r="D78" s="6">
        <f>SUM(D76:D77)</f>
        <v>331.5</v>
      </c>
      <c r="E78" s="6">
        <f>SUM(E76:E77)</f>
        <v>130.0</v>
      </c>
      <c r="F78" s="6">
        <f>SUM(F76:F77)</f>
        <v>1303.81</v>
      </c>
      <c r="G78" s="6">
        <f>SUM(G76:G77)</f>
        <v>325.95</v>
      </c>
    </row>
    <row r="80">
      <c r="A80" s="5" t="inlineStr">
        <is>
          <t xml:space="preserve">Other</t>
        </is>
      </c>
    </row>
    <row r="81">
      <c r="A81" s="12" t="inlineStr">
        <is>
          <t xml:space="preserve">Donations &amp; Clubs (Kiwanis)</t>
        </is>
      </c>
      <c r="B81" s="3">
        <f>SUMIFS('All Transactions'!$F$5:$F$436,'All Transactions'!$D$5:$D$436,$A81,'All Transactions'!$A$5:$A$436,B$4)</f>
        <v>0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0</v>
      </c>
      <c r="E81" s="3">
        <f>SUMIFS('All Transactions'!$F$5:$F$436,'All Transactions'!$D$5:$D$436,$A81,'All Transactions'!$A$5:$A$436,E$4)</f>
        <v>200.0</v>
      </c>
      <c r="F81" s="3">
        <f>SUM(B81:E81)</f>
        <v>200.0</v>
      </c>
      <c r="G81" s="3">
        <f>F81/4</f>
        <v>50.0</v>
      </c>
    </row>
    <row r="82">
      <c r="A82" s="12" t="inlineStr">
        <is>
          <t xml:space="preserve">Checks Written (payee not shown)</t>
        </is>
      </c>
      <c r="B82" s="3">
        <f>SUMIFS('All Transactions'!$F$5:$F$436,'All Transactions'!$D$5:$D$436,$A82,'All Transactions'!$A$5:$A$436,B$4)</f>
        <v>2630.0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728.0</v>
      </c>
      <c r="E82" s="3">
        <f>SUMIFS('All Transactions'!$F$5:$F$436,'All Transactions'!$D$5:$D$436,$A82,'All Transactions'!$A$5:$A$436,E$4)</f>
        <v>0</v>
      </c>
      <c r="F82" s="3">
        <f>SUM(B82:E82)</f>
        <v>3358.0</v>
      </c>
      <c r="G82" s="3">
        <f>F82/4</f>
        <v>839.5</v>
      </c>
    </row>
    <row r="83">
      <c r="A83" s="12" t="inlineStr">
        <is>
          <t xml:space="preserve">Cash (ATM) &amp; Bank Fees</t>
        </is>
      </c>
      <c r="B83" s="3">
        <f>SUMIFS('All Transactions'!$F$5:$F$436,'All Transactions'!$D$5:$D$436,$A83,'All Transactions'!$A$5:$A$436,B$4)</f>
        <v>0</v>
      </c>
      <c r="C83" s="3">
        <f>SUMIFS('All Transactions'!$F$5:$F$436,'All Transactions'!$D$5:$D$436,$A83,'All Transactions'!$A$5:$A$436,C$4)</f>
        <v>0</v>
      </c>
      <c r="D83" s="3">
        <f>SUMIFS('All Transactions'!$F$5:$F$436,'All Transactions'!$D$5:$D$436,$A83,'All Transactions'!$A$5:$A$436,D$4)</f>
        <v>0</v>
      </c>
      <c r="E83" s="3">
        <f>SUMIFS('All Transactions'!$F$5:$F$436,'All Transactions'!$D$5:$D$436,$A83,'All Transactions'!$A$5:$A$436,E$4)</f>
        <v>147.0</v>
      </c>
      <c r="F83" s="3">
        <f>SUM(B83:E83)</f>
        <v>147.0</v>
      </c>
      <c r="G83" s="3">
        <f>F83/4</f>
        <v>36.75</v>
      </c>
    </row>
    <row r="84">
      <c r="A84" s="12" t="inlineStr">
        <is>
          <t xml:space="preserve">Autobooks – NextGen (910-931-1027)</t>
        </is>
      </c>
      <c r="B84" s="3">
        <f>SUMIFS('All Transactions'!$F$5:$F$436,'All Transactions'!$D$5:$D$436,$A84,'All Transactions'!$A$5:$A$436,B$4)</f>
        <v>60.0</v>
      </c>
      <c r="C84" s="3">
        <f>SUMIFS('All Transactions'!$F$5:$F$436,'All Transactions'!$D$5:$D$436,$A84,'All Transactions'!$A$5:$A$436,C$4)</f>
        <v>100.0</v>
      </c>
      <c r="D84" s="3">
        <f>SUMIFS('All Transactions'!$F$5:$F$436,'All Transactions'!$D$5:$D$436,$A84,'All Transactions'!$A$5:$A$436,D$4)</f>
        <v>220.0</v>
      </c>
      <c r="E84" s="3">
        <f>SUMIFS('All Transactions'!$F$5:$F$436,'All Transactions'!$D$5:$D$436,$A84,'All Transactions'!$A$5:$A$436,E$4)</f>
        <v>120.0</v>
      </c>
      <c r="F84" s="3">
        <f>SUM(B84:E84)</f>
        <v>500.0</v>
      </c>
      <c r="G84" s="3">
        <f>F84/4</f>
        <v>125.0</v>
      </c>
    </row>
    <row r="85">
      <c r="A85" s="7" t="inlineStr">
        <is>
          <t xml:space="preserve">Total Other</t>
        </is>
      </c>
      <c r="B85" s="6">
        <f>SUM(B81:B84)</f>
        <v>2690.0</v>
      </c>
      <c r="C85" s="6">
        <f>SUM(C81:C84)</f>
        <v>100.0</v>
      </c>
      <c r="D85" s="6">
        <f>SUM(D81:D84)</f>
        <v>948.0</v>
      </c>
      <c r="E85" s="6">
        <f>SUM(E81:E84)</f>
        <v>467.0</v>
      </c>
      <c r="F85" s="6">
        <f>SUM(F81:F84)</f>
        <v>4205.0</v>
      </c>
      <c r="G85" s="6">
        <f>SUM(G81:G84)</f>
        <v>1051.25</v>
      </c>
    </row>
    <row r="87">
      <c r="A87" s="8" t="inlineStr">
        <is>
          <t xml:space="preserve">TOTAL SPENDING (all withdrawals)</t>
        </is>
      </c>
      <c r="B87" s="9">
        <f>B10+B19+B26+B32+B37+B42+B47+B51+B55+B59+B64+B68+B73+B78+B85</f>
        <v>17341.81</v>
      </c>
      <c r="C87" s="9">
        <f>C10+C19+C26+C32+C37+C42+C47+C51+C55+C59+C64+C68+C73+C78+C85</f>
        <v>25361.57</v>
      </c>
      <c r="D87" s="9">
        <f>D10+D19+D26+D32+D37+D42+D47+D51+D55+D59+D64+D68+D73+D78+D85</f>
        <v>22983.72</v>
      </c>
      <c r="E87" s="9">
        <f>E10+E19+E26+E32+E37+E42+E47+E51+E55+E59+E64+E68+E73+E78+E85</f>
        <v>18830.14</v>
      </c>
      <c r="F87" s="9">
        <f>F10+F19+F26+F32+F37+F42+F47+F51+F55+F59+F64+F68+F73+F78+F85</f>
        <v>84517.24</v>
      </c>
      <c r="G87" s="9">
        <f>G10+G19+G26+G32+G37+G42+G47+G51+G55+G59+G64+G68+G73+G78+G85</f>
        <v>21129.3</v>
      </c>
    </row>
    <row r="88">
      <c r="A88" s="12" t="inlineStr">
        <is>
          <t xml:space="preserve">Withdrawals/Subtractions per bank statement</t>
        </is>
      </c>
      <c r="B88" s="13">
        <v>17341.81</v>
      </c>
      <c r="C88" s="13">
        <v>25361.57</v>
      </c>
      <c r="D88" s="13">
        <v>22983.72</v>
      </c>
      <c r="E88" s="13">
        <v>18830.14</v>
      </c>
      <c r="F88" s="3">
        <f>SUM(B88:E88)</f>
        <v>84517.24</v>
      </c>
    </row>
    <row r="89">
      <c r="A89" s="12" t="inlineStr">
        <is>
          <t xml:space="preserve">Difference (should be $0 = every dollar categorized)</t>
        </is>
      </c>
      <c r="B89" s="3">
        <f>B87-B88</f>
        <v>0.0</v>
      </c>
      <c r="C89" s="3">
        <f>C87-C88</f>
        <v>0.0</v>
      </c>
      <c r="D89" s="3">
        <f>D87-D88</f>
        <v>0.0</v>
      </c>
      <c r="E89" s="3">
        <f>E87-E88</f>
        <v>0.0</v>
      </c>
      <c r="F89" s="3">
        <f>F87-F88</f>
        <v>0.0</v>
      </c>
    </row>
    <row r="91">
      <c r="A91" s="5" t="inlineStr">
        <is>
          <t xml:space="preserve">Key Bills at a Glance</t>
        </is>
      </c>
    </row>
    <row r="92">
      <c r="A92" s="15" t="inlineStr">
        <is>
          <t xml:space="preserve">Bill</t>
        </is>
      </c>
      <c r="B92" s="1" t="inlineStr">
        <is>
          <t xml:space="preserve">June 2026</t>
        </is>
      </c>
      <c r="C92" s="1" t="inlineStr">
        <is>
          <t xml:space="preserve">July 2026</t>
        </is>
      </c>
      <c r="D92" s="1" t="inlineStr">
        <is>
          <t xml:space="preserve">August 2026</t>
        </is>
      </c>
      <c r="E92" s="1" t="inlineStr">
        <is>
          <t xml:space="preserve">September 2026</t>
        </is>
      </c>
      <c r="F92" s="1" t="inlineStr">
        <is>
          <t xml:space="preserve">4-Month Total</t>
        </is>
      </c>
      <c r="G92" s="1" t="inlineStr">
        <is>
          <t xml:space="preserve">Monthly Avg</t>
        </is>
      </c>
    </row>
    <row r="93">
      <c r="A93" s="12" t="inlineStr">
        <is>
          <t xml:space="preserve">A&amp;D Mortgage</t>
        </is>
      </c>
      <c r="B93" s="3">
        <f>SUMIFS('All Transactions'!$F$5:$F$436,'All Transactions'!$D$5:$D$436,$A93,'All Transactions'!$A$5:$A$436,B$4)</f>
        <v>3411.1</v>
      </c>
      <c r="C93" s="3">
        <f>SUMIFS('All Transactions'!$F$5:$F$436,'All Transactions'!$D$5:$D$436,$A93,'All Transactions'!$A$5:$A$436,C$4)</f>
        <v>3411.1</v>
      </c>
      <c r="D93" s="3">
        <f>SUMIFS('All Transactions'!$F$5:$F$436,'All Transactions'!$D$5:$D$436,$A93,'All Transactions'!$A$5:$A$436,D$4)</f>
        <v>3411.1</v>
      </c>
      <c r="E93" s="3">
        <f>SUMIFS('All Transactions'!$F$5:$F$436,'All Transactions'!$D$5:$D$436,$A93,'All Transactions'!$A$5:$A$436,E$4)</f>
        <v>3411.1</v>
      </c>
      <c r="F93" s="3">
        <f>SUM(B93:E93)</f>
        <v>13644.4</v>
      </c>
      <c r="G93" s="3">
        <f>F93/4</f>
        <v>3411.1</v>
      </c>
    </row>
    <row r="94">
      <c r="A94" s="12" t="inlineStr">
        <is>
          <t xml:space="preserve">St. James Membership (Club)</t>
        </is>
      </c>
      <c r="B94" s="3">
        <f>SUMIFS('All Transactions'!$F$5:$F$436,'All Transactions'!$D$5:$D$436,$A94,'All Transactions'!$A$5:$A$436,B$4)</f>
        <v>1591.78</v>
      </c>
      <c r="C94" s="3">
        <f>SUMIFS('All Transactions'!$F$5:$F$436,'All Transactions'!$D$5:$D$436,$A94,'All Transactions'!$A$5:$A$436,C$4)</f>
        <v>1601.56</v>
      </c>
      <c r="D94" s="3">
        <f>SUMIFS('All Transactions'!$F$5:$F$436,'All Transactions'!$D$5:$D$436,$A94,'All Transactions'!$A$5:$A$436,D$4)</f>
        <v>1492.11</v>
      </c>
      <c r="E94" s="3">
        <f>SUMIFS('All Transactions'!$F$5:$F$436,'All Transactions'!$D$5:$D$436,$A94,'All Transactions'!$A$5:$A$436,E$4)</f>
        <v>1767.0</v>
      </c>
      <c r="F94" s="3">
        <f>SUM(B94:E94)</f>
        <v>6452.45</v>
      </c>
      <c r="G94" s="3">
        <f>F94/4</f>
        <v>1613.11</v>
      </c>
    </row>
    <row r="95">
      <c r="A95" s="12" t="inlineStr">
        <is>
          <t xml:space="preserve">St. James Plantation POA Dues</t>
        </is>
      </c>
      <c r="B95" s="3">
        <f>SUMIFS('All Transactions'!$F$5:$F$436,'All Transactions'!$D$5:$D$436,$A95,'All Transactions'!$A$5:$A$436,B$4)</f>
        <v>692.95</v>
      </c>
      <c r="C95" s="3">
        <f>SUMIFS('All Transactions'!$F$5:$F$436,'All Transactions'!$D$5:$D$436,$A95,'All Transactions'!$A$5:$A$436,C$4)</f>
        <v>0</v>
      </c>
      <c r="D95" s="3">
        <f>SUMIFS('All Transactions'!$F$5:$F$436,'All Transactions'!$D$5:$D$436,$A95,'All Transactions'!$A$5:$A$436,D$4)</f>
        <v>0</v>
      </c>
      <c r="E95" s="3">
        <f>SUMIFS('All Transactions'!$F$5:$F$436,'All Transactions'!$D$5:$D$436,$A95,'All Transactions'!$A$5:$A$436,E$4)</f>
        <v>0</v>
      </c>
      <c r="F95" s="3">
        <f>SUM(B95:E95)</f>
        <v>692.95</v>
      </c>
      <c r="G95" s="3">
        <f>F95/4</f>
        <v>173.24</v>
      </c>
    </row>
    <row r="96">
      <c r="A96" s="12" t="inlineStr">
        <is>
          <t xml:space="preserve">Allstate Insurance</t>
        </is>
      </c>
      <c r="B96" s="3">
        <f>SUMIFS('All Transactions'!$F$5:$F$436,'All Transactions'!$D$5:$D$436,$A96,'All Transactions'!$A$5:$A$436,B$4)</f>
        <v>360.42</v>
      </c>
      <c r="C96" s="3">
        <f>SUMIFS('All Transactions'!$F$5:$F$436,'All Transactions'!$D$5:$D$436,$A96,'All Transactions'!$A$5:$A$436,C$4)</f>
        <v>360.42</v>
      </c>
      <c r="D96" s="3">
        <f>SUMIFS('All Transactions'!$F$5:$F$436,'All Transactions'!$D$5:$D$436,$A96,'All Transactions'!$A$5:$A$436,D$4)</f>
        <v>475.42</v>
      </c>
      <c r="E96" s="3">
        <f>SUMIFS('All Transactions'!$F$5:$F$436,'All Transactions'!$D$5:$D$436,$A96,'All Transactions'!$A$5:$A$436,E$4)</f>
        <v>354.17</v>
      </c>
      <c r="F96" s="3">
        <f>SUM(B96:E96)</f>
        <v>1550.43</v>
      </c>
      <c r="G96" s="3">
        <f>F96/4</f>
        <v>387.61</v>
      </c>
    </row>
    <row r="97">
      <c r="A97" s="12" t="inlineStr">
        <is>
          <t xml:space="preserve">Life Insurance (Lincoln National)</t>
        </is>
      </c>
      <c r="B97" s="3">
        <f>SUMIFS('All Transactions'!$F$5:$F$436,'All Transactions'!$D$5:$D$436,$A97,'All Transactions'!$A$5:$A$436,B$4)</f>
        <v>79.21</v>
      </c>
      <c r="C97" s="3">
        <f>SUMIFS('All Transactions'!$F$5:$F$436,'All Transactions'!$D$5:$D$436,$A97,'All Transactions'!$A$5:$A$436,C$4)</f>
        <v>73.61</v>
      </c>
      <c r="D97" s="3">
        <f>SUMIFS('All Transactions'!$F$5:$F$436,'All Transactions'!$D$5:$D$436,$A97,'All Transactions'!$A$5:$A$436,D$4)</f>
        <v>73.61</v>
      </c>
      <c r="E97" s="3">
        <f>SUMIFS('All Transactions'!$F$5:$F$436,'All Transactions'!$D$5:$D$436,$A97,'All Transactions'!$A$5:$A$436,E$4)</f>
        <v>73.61</v>
      </c>
      <c r="F97" s="3">
        <f>SUM(B97:E97)</f>
        <v>300.04</v>
      </c>
      <c r="G97" s="3">
        <f>F97/4</f>
        <v>75.01</v>
      </c>
    </row>
    <row r="98">
      <c r="A98" s="12" t="inlineStr">
        <is>
          <t xml:space="preserve">Banner Life Insurance</t>
        </is>
      </c>
      <c r="B98" s="3">
        <f>SUMIFS('All Transactions'!$F$5:$F$436,'All Transactions'!$D$5:$D$436,$A98,'All Transactions'!$A$5:$A$436,B$4)</f>
        <v>710.06</v>
      </c>
      <c r="C98" s="3">
        <f>SUMIFS('All Transactions'!$F$5:$F$436,'All Transactions'!$D$5:$D$436,$A98,'All Transactions'!$A$5:$A$436,C$4)</f>
        <v>710.06</v>
      </c>
      <c r="D98" s="3">
        <f>SUMIFS('All Transactions'!$F$5:$F$436,'All Transactions'!$D$5:$D$436,$A98,'All Transactions'!$A$5:$A$436,D$4)</f>
        <v>710.06</v>
      </c>
      <c r="E98" s="3">
        <f>SUMIFS('All Transactions'!$F$5:$F$436,'All Transactions'!$D$5:$D$436,$A98,'All Transactions'!$A$5:$A$436,E$4)</f>
        <v>710.06</v>
      </c>
      <c r="F98" s="3">
        <f>SUM(B98:E98)</f>
        <v>2840.24</v>
      </c>
      <c r="G98" s="3">
        <f>F98/4</f>
        <v>710.06</v>
      </c>
    </row>
    <row r="99">
      <c r="A99" s="12" t="inlineStr">
        <is>
          <t xml:space="preserve">Verizon Wireless</t>
        </is>
      </c>
      <c r="B99" s="3">
        <f>SUMIFS('All Transactions'!$F$5:$F$436,'All Transactions'!$D$5:$D$436,$A99,'All Transactions'!$A$5:$A$436,B$4)</f>
        <v>294.57</v>
      </c>
      <c r="C99" s="3">
        <f>SUMIFS('All Transactions'!$F$5:$F$436,'All Transactions'!$D$5:$D$436,$A99,'All Transactions'!$A$5:$A$436,C$4)</f>
        <v>294.8</v>
      </c>
      <c r="D99" s="3">
        <f>SUMIFS('All Transactions'!$F$5:$F$436,'All Transactions'!$D$5:$D$436,$A99,'All Transactions'!$A$5:$A$436,D$4)</f>
        <v>436.02</v>
      </c>
      <c r="E99" s="3">
        <f>SUMIFS('All Transactions'!$F$5:$F$436,'All Transactions'!$D$5:$D$436,$A99,'All Transactions'!$A$5:$A$436,E$4)</f>
        <v>386.85</v>
      </c>
      <c r="F99" s="3">
        <f>SUM(B99:E99)</f>
        <v>1412.24</v>
      </c>
      <c r="G99" s="3">
        <f>F99/4</f>
        <v>353.06</v>
      </c>
    </row>
    <row r="100">
      <c r="A100" s="12" t="inlineStr">
        <is>
          <t xml:space="preserve">Utility – Electric (BEMC)</t>
        </is>
      </c>
      <c r="B100" s="3">
        <f>SUMIFS('All Transactions'!$F$5:$F$436,'All Transactions'!$D$5:$D$436,$A100,'All Transactions'!$A$5:$A$436,B$4)</f>
        <v>0</v>
      </c>
      <c r="C100" s="3">
        <f>SUMIFS('All Transactions'!$F$5:$F$436,'All Transactions'!$D$5:$D$436,$A100,'All Transactions'!$A$5:$A$436,C$4)</f>
        <v>336.35</v>
      </c>
      <c r="D100" s="3">
        <f>SUMIFS('All Transactions'!$F$5:$F$436,'All Transactions'!$D$5:$D$436,$A100,'All Transactions'!$A$5:$A$436,D$4)</f>
        <v>406.96</v>
      </c>
      <c r="E100" s="3">
        <f>SUMIFS('All Transactions'!$F$5:$F$436,'All Transactions'!$D$5:$D$436,$A100,'All Transactions'!$A$5:$A$436,E$4)</f>
        <v>419.66</v>
      </c>
      <c r="F100" s="3">
        <f>SUM(B100:E100)</f>
        <v>1162.97</v>
      </c>
      <c r="G100" s="3">
        <f>F100/4</f>
        <v>290.74</v>
      </c>
    </row>
    <row r="101">
      <c r="A101" s="12" t="inlineStr">
        <is>
          <t xml:space="preserve">Utility – Water/Sewer (Brunswick County)</t>
        </is>
      </c>
      <c r="B101" s="3">
        <f>SUMIFS('All Transactions'!$F$5:$F$436,'All Transactions'!$D$5:$D$436,$A101,'All Transactions'!$A$5:$A$436,B$4)</f>
        <v>78.84</v>
      </c>
      <c r="C101" s="3">
        <f>SUMIFS('All Transactions'!$F$5:$F$436,'All Transactions'!$D$5:$D$436,$A101,'All Transactions'!$A$5:$A$436,C$4)</f>
        <v>0</v>
      </c>
      <c r="D101" s="3">
        <f>SUMIFS('All Transactions'!$F$5:$F$436,'All Transactions'!$D$5:$D$436,$A101,'All Transactions'!$A$5:$A$436,D$4)</f>
        <v>179.33</v>
      </c>
      <c r="E101" s="3">
        <f>SUMIFS('All Transactions'!$F$5:$F$436,'All Transactions'!$D$5:$D$436,$A101,'All Transactions'!$A$5:$A$436,E$4)</f>
        <v>84.26</v>
      </c>
      <c r="F101" s="3">
        <f>SUM(B101:E101)</f>
        <v>342.43</v>
      </c>
      <c r="G101" s="3">
        <f>F101/4</f>
        <v>85.61</v>
      </c>
    </row>
    <row r="102">
      <c r="A102" s="12" t="inlineStr">
        <is>
          <t xml:space="preserve">Utility – Internet (Focus Broadband)</t>
        </is>
      </c>
      <c r="B102" s="3">
        <f>SUMIFS('All Transactions'!$F$5:$F$436,'All Transactions'!$D$5:$D$436,$A102,'All Transactions'!$A$5:$A$436,B$4)</f>
        <v>80.79</v>
      </c>
      <c r="C102" s="3">
        <f>SUMIFS('All Transactions'!$F$5:$F$436,'All Transactions'!$D$5:$D$436,$A102,'All Transactions'!$A$5:$A$436,C$4)</f>
        <v>0</v>
      </c>
      <c r="D102" s="3">
        <f>SUMIFS('All Transactions'!$F$5:$F$436,'All Transactions'!$D$5:$D$436,$A102,'All Transactions'!$A$5:$A$436,D$4)</f>
        <v>161.58</v>
      </c>
      <c r="E102" s="3">
        <f>SUMIFS('All Transactions'!$F$5:$F$436,'All Transactions'!$D$5:$D$436,$A102,'All Transactions'!$A$5:$A$436,E$4)</f>
        <v>80.79</v>
      </c>
      <c r="F102" s="3">
        <f>SUM(B102:E102)</f>
        <v>323.16</v>
      </c>
      <c r="G102" s="3">
        <f>F102/4</f>
        <v>80.79</v>
      </c>
    </row>
    <row r="103">
      <c r="A103" s="12" t="inlineStr">
        <is>
          <t xml:space="preserve">Restaurants &amp; Takeout</t>
        </is>
      </c>
      <c r="B103" s="3">
        <f>SUMIFS('All Transactions'!$F$5:$F$436,'All Transactions'!$D$5:$D$436,$A103,'All Transactions'!$A$5:$A$436,B$4)</f>
        <v>1019.45</v>
      </c>
      <c r="C103" s="3">
        <f>SUMIFS('All Transactions'!$F$5:$F$436,'All Transactions'!$D$5:$D$436,$A103,'All Transactions'!$A$5:$A$436,C$4)</f>
        <v>935.1</v>
      </c>
      <c r="D103" s="3">
        <f>SUMIFS('All Transactions'!$F$5:$F$436,'All Transactions'!$D$5:$D$436,$A103,'All Transactions'!$A$5:$A$436,D$4)</f>
        <v>962.62</v>
      </c>
      <c r="E103" s="3">
        <f>SUMIFS('All Transactions'!$F$5:$F$436,'All Transactions'!$D$5:$D$436,$A103,'All Transactions'!$A$5:$A$436,E$4)</f>
        <v>872.56</v>
      </c>
      <c r="F103" s="3">
        <f>SUM(B103:E103)</f>
        <v>3789.73</v>
      </c>
      <c r="G103" s="3">
        <f>F103/4</f>
        <v>947.43</v>
      </c>
    </row>
    <row r="104">
      <c r="A104" s="12" t="inlineStr">
        <is>
          <t xml:space="preserve">Gas &amp; Convenience Stores</t>
        </is>
      </c>
      <c r="B104" s="3">
        <f>SUMIFS('All Transactions'!$F$5:$F$436,'All Transactions'!$D$5:$D$436,$A104,'All Transactions'!$A$5:$A$436,B$4)</f>
        <v>108.9</v>
      </c>
      <c r="C104" s="3">
        <f>SUMIFS('All Transactions'!$F$5:$F$436,'All Transactions'!$D$5:$D$436,$A104,'All Transactions'!$A$5:$A$436,C$4)</f>
        <v>277.87</v>
      </c>
      <c r="D104" s="3">
        <f>SUMIFS('All Transactions'!$F$5:$F$436,'All Transactions'!$D$5:$D$436,$A104,'All Transactions'!$A$5:$A$436,D$4)</f>
        <v>167.24</v>
      </c>
      <c r="E104" s="3">
        <f>SUMIFS('All Transactions'!$F$5:$F$436,'All Transactions'!$D$5:$D$436,$A104,'All Transactions'!$A$5:$A$436,E$4)</f>
        <v>238.98</v>
      </c>
      <c r="F104" s="3">
        <f>SUM(B104:E104)</f>
        <v>792.99</v>
      </c>
      <c r="G104" s="3">
        <f>F104/4</f>
        <v>198.25</v>
      </c>
    </row>
    <row r="105">
      <c r="A105" s="12" t="inlineStr">
        <is>
          <t xml:space="preserve">Groceries</t>
        </is>
      </c>
      <c r="B105" s="3">
        <f>SUMIFS('All Transactions'!$F$5:$F$436,'All Transactions'!$D$5:$D$436,$A105,'All Transactions'!$A$5:$A$436,B$4)</f>
        <v>1529.75</v>
      </c>
      <c r="C105" s="3">
        <f>SUMIFS('All Transactions'!$F$5:$F$436,'All Transactions'!$D$5:$D$436,$A105,'All Transactions'!$A$5:$A$436,C$4)</f>
        <v>1279.24</v>
      </c>
      <c r="D105" s="3">
        <f>SUMIFS('All Transactions'!$F$5:$F$436,'All Transactions'!$D$5:$D$436,$A105,'All Transactions'!$A$5:$A$436,D$4)</f>
        <v>1190.12</v>
      </c>
      <c r="E105" s="3">
        <f>SUMIFS('All Transactions'!$F$5:$F$436,'All Transactions'!$D$5:$D$436,$A105,'All Transactions'!$A$5:$A$436,E$4)</f>
        <v>1202.5</v>
      </c>
      <c r="F105" s="3">
        <f>SUM(B105:E105)</f>
        <v>5201.61</v>
      </c>
      <c r="G105" s="3">
        <f>F105/4</f>
        <v>1300.4</v>
      </c>
    </row>
    <row r="107">
      <c r="A107" s="5" t="inlineStr">
        <is>
          <t xml:space="preserve">Notes &amp; assumptions</t>
        </is>
      </c>
    </row>
    <row r="108" ht="27" customHeight="1">
      <c r="A108" s="11" t="inlineStr">
        <is>
          <t xml:space="preserve">• "Month" = the bank statement period (June stmt 5/27–6/24, July 6/25–7/23, Aug 7/24–8/25, Sept 8/26–9/24), not the calendar month.</t>
        </is>
      </c>
    </row>
    <row r="109" ht="27" customHeight="1">
      <c r="A109" s="11" t="inlineStr">
        <is>
          <t xml:space="preserve">• Statement totals in blue are typed from each statement's "Withdrawals/Subtractions" line; the Difference row proves every withdrawal is categorized.</t>
        </is>
      </c>
    </row>
    <row r="110" ht="27" customHeight="1">
      <c r="A110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11" ht="27" customHeight="1">
      <c r="A111" s="11" t="inlineStr">
        <is>
          <t xml:space="preserve">• Health Premium – WTW / Via Benefits ($2,576/mo): these debits are reimbursed by "Via Benefits Claim Pmnt" deposits ($2,576 in Jun, Jul, Aug; $666 in Sep; plus $13.25 in Jun). The deposits are not netted here.</t>
        </is>
      </c>
    </row>
    <row r="112" ht="27" customHeight="1">
      <c r="A112" s="11" t="inlineStr">
        <is>
          <t xml:space="preserve">• Utilities identified: BEMC = Brunswick Electric Membership Corp (electric); OPC*Brunswick CO U = Brunswick County Utilities (water/sewer) + $2.95 online-payment fee; Focus Broadband (internet). Verizon Wireless shown separately.</t>
        </is>
      </c>
    </row>
    <row r="113" ht="27" customHeight="1">
      <c r="A113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14" ht="27" customHeight="1">
      <c r="A114" s="11" t="inlineStr">
        <is>
          <t xml:space="preserve">• American Express and Belk card payments are lump-sum card payoffs — the individual purchases on those cards do not appear on this checking statement.</t>
        </is>
      </c>
    </row>
    <row r="115" ht="27" customHeight="1">
      <c r="A115" s="11" t="inlineStr">
        <is>
          <t xml:space="preserve">• Checks #101, 102, 103, 518, 520: payee is not printed on the statement.</t>
        </is>
      </c>
    </row>
    <row r="116" ht="27" customHeight="1">
      <c r="A116" s="11" t="inlineStr">
        <is>
          <t xml:space="preserve">• Gas &amp; Convenience includes everything bought at gas stations (fuel and snacks can't be separated). Small hospital-cafeteria charges (Granville Med, Duke) are counted as Restaurants.</t>
        </is>
      </c>
    </row>
    <row r="117" ht="27" customHeight="1">
      <c r="A117" s="11" t="inlineStr">
        <is>
          <t xml:space="preserve">• Sloane Realty ($2,891.98 on 7/22) had a $200 refund on 8/4 that is a deposit and is not netted. "Autobks*Nextgen" (910-931-1027) is an unidentified vendor paid via Autobooks.</t>
        </is>
      </c>
    </row>
  </sheetData>
  <mergeCells count="10">
    <mergeCell ref="A108:G108"/>
    <mergeCell ref="A109:G109"/>
    <mergeCell ref="A110:G110"/>
    <mergeCell ref="A111:G111"/>
    <mergeCell ref="A112:G112"/>
    <mergeCell ref="A113:G113"/>
    <mergeCell ref="A114:G114"/>
    <mergeCell ref="A115:G115"/>
    <mergeCell ref="A116:G116"/>
    <mergeCell ref="A117:G117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Checks Written (payee not shown)</t>
        </is>
      </c>
      <c r="H5" s="3">
        <f>SUMIF($C$4:$C$119,G5,$E$4:$E$119)</f>
        <v>2630.0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Health Premium – WTW / Via Benefits</t>
        </is>
      </c>
      <c r="H6" s="3">
        <f>SUMIF($C$4:$C$119,G6,$E$4:$E$119)</f>
        <v>2576.0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St. James Membership (Club)</t>
        </is>
      </c>
      <c r="H7" s="3">
        <f>SUMIF($C$4:$C$119,G7,$E$4:$E$119)</f>
        <v>1591.78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Credit Card – Belk (Synchrony)</t>
        </is>
      </c>
      <c r="D8" s="2" t="inlineStr">
        <is>
          <t xml:space="preserve">Debt Payments</t>
        </is>
      </c>
      <c r="E8" s="3">
        <v>386.69</v>
      </c>
      <c r="G8" s="2" t="inlineStr">
        <is>
          <t xml:space="preserve">Groceries</t>
        </is>
      </c>
      <c r="H8" s="3">
        <f>SUMIF($C$4:$C$119,G8,$E$4:$E$119)</f>
        <v>1529.75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TV</t>
        </is>
      </c>
      <c r="D9" s="2" t="inlineStr">
        <is>
          <t xml:space="preserve">Subscriptions</t>
        </is>
      </c>
      <c r="E9" s="3">
        <v>89.0</v>
      </c>
      <c r="G9" s="2" t="inlineStr">
        <is>
          <t xml:space="preserve">Restaurants &amp; Takeout</t>
        </is>
      </c>
      <c r="H9" s="3">
        <f>SUMIF($C$4:$C$119,G9,$E$4:$E$119)</f>
        <v>1019.45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TV</t>
        </is>
      </c>
      <c r="D10" s="2" t="inlineStr">
        <is>
          <t xml:space="preserve">Subscriptions</t>
        </is>
      </c>
      <c r="E10" s="3">
        <v>11.78</v>
      </c>
      <c r="G10" s="2" t="inlineStr">
        <is>
          <t xml:space="preserve">Banner Life Insurance</t>
        </is>
      </c>
      <c r="H10" s="3">
        <f>SUMIF($C$4:$C$119,G10,$E$4:$E$119)</f>
        <v>710.06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TV</t>
        </is>
      </c>
      <c r="D11" s="2" t="inlineStr">
        <is>
          <t xml:space="preserve">Subscriptions</t>
        </is>
      </c>
      <c r="E11" s="3">
        <v>20.27</v>
      </c>
      <c r="G11" s="2" t="inlineStr">
        <is>
          <t xml:space="preserve">St. James Plantation POA Dues</t>
        </is>
      </c>
      <c r="H11" s="3">
        <f>SUMIF($C$4:$C$119,G11,$E$4:$E$119)</f>
        <v>692.95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Groceries</t>
        </is>
      </c>
      <c r="D12" s="2" t="inlineStr">
        <is>
          <t xml:space="preserve">Food</t>
        </is>
      </c>
      <c r="E12" s="3">
        <v>125.08</v>
      </c>
      <c r="G12" s="2" t="inlineStr">
        <is>
          <t xml:space="preserve">Credit Card – Belk (Synchrony)</t>
        </is>
      </c>
      <c r="H12" s="3">
        <f>SUMIF($C$4:$C$119,G12,$E$4:$E$119)</f>
        <v>386.69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Personal Care (Hair, Beauty)</t>
        </is>
      </c>
      <c r="H13" s="3">
        <f>SUMIF($C$4:$C$119,G13,$E$4:$E$119)</f>
        <v>368.52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Allstate Insurance</t>
        </is>
      </c>
      <c r="H14" s="3">
        <f>SUMIF($C$4:$C$119,G14,$E$4:$E$119)</f>
        <v>360.42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Shopping &amp; Household</t>
        </is>
      </c>
      <c r="D15" s="2" t="inlineStr">
        <is>
          <t xml:space="preserve">Shopping</t>
        </is>
      </c>
      <c r="E15" s="3">
        <v>41.63</v>
      </c>
      <c r="G15" s="2" t="inlineStr">
        <is>
          <t xml:space="preserve">Verizon Wireless</t>
        </is>
      </c>
      <c r="H15" s="3">
        <f>SUMIF($C$4:$C$119,G15,$E$4:$E$119)</f>
        <v>294.57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Health Insurance – Blue Cross NC</t>
        </is>
      </c>
      <c r="H16" s="3">
        <f>SUMIF($C$4:$C$119,G16,$E$4:$E$119)</f>
        <v>216.25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Shopping &amp; Household</t>
        </is>
      </c>
      <c r="H17" s="3">
        <f>SUMIF($C$4:$C$119,G17,$E$4:$E$119)</f>
        <v>215.04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Personal Care (Hair, Beauty)</t>
        </is>
      </c>
      <c r="D18" s="2" t="inlineStr">
        <is>
          <t xml:space="preserve">Personal</t>
        </is>
      </c>
      <c r="E18" s="3">
        <v>51.31</v>
      </c>
      <c r="G18" s="2" t="inlineStr">
        <is>
          <t xml:space="preserve">Streaming TV</t>
        </is>
      </c>
      <c r="H18" s="3">
        <f>SUMIF($C$4:$C$119,G18,$E$4:$E$119)</f>
        <v>188.8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Personal Care (Hair, Beauty)</t>
        </is>
      </c>
      <c r="D19" s="2" t="inlineStr">
        <is>
          <t xml:space="preserve">Personal</t>
        </is>
      </c>
      <c r="E19" s="3">
        <v>97.35</v>
      </c>
      <c r="G19" s="2" t="inlineStr">
        <is>
          <t xml:space="preserve">Student Loan (Dept of Education)</t>
        </is>
      </c>
      <c r="H19" s="3">
        <f>SUMIF($C$4:$C$119,G19,$E$4:$E$119)</f>
        <v>160.37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Medical &amp; Pharmacy</t>
        </is>
      </c>
      <c r="H20" s="3">
        <f>SUMIF($C$4:$C$119,G20,$E$4:$E$119)</f>
        <v>160.07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Groceries</t>
        </is>
      </c>
      <c r="D21" s="2" t="inlineStr">
        <is>
          <t xml:space="preserve">Food</t>
        </is>
      </c>
      <c r="E21" s="3">
        <v>37.15</v>
      </c>
      <c r="G21" s="2" t="inlineStr">
        <is>
          <t xml:space="preserve">Software &amp; Online Subscriptions</t>
        </is>
      </c>
      <c r="H21" s="3">
        <f>SUMIF($C$4:$C$119,G21,$E$4:$E$119)</f>
        <v>141.73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Other</t>
        </is>
      </c>
      <c r="E22" s="3">
        <v>1800.0</v>
      </c>
      <c r="G22" s="2" t="inlineStr">
        <is>
          <t xml:space="preserve">Gas &amp; Convenience Stores</t>
        </is>
      </c>
      <c r="H22" s="3">
        <f>SUMIF($C$4:$C$119,G22,$E$4:$E$119)</f>
        <v>108.9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Travel (Lyft, Hotel, Rental)</t>
        </is>
      </c>
      <c r="H23" s="3">
        <f>SUMIF($C$4:$C$119,G23,$E$4:$E$119)</f>
        <v>102.65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Utility – Internet (Focus Broadband)</t>
        </is>
      </c>
      <c r="H24" s="3">
        <f>SUMIF($C$4:$C$119,G24,$E$4:$E$119)</f>
        <v>80.79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Life Insurance (Lincoln National)</t>
        </is>
      </c>
      <c r="H25" s="3">
        <f>SUMIF($C$4:$C$119,G25,$E$4:$E$119)</f>
        <v>79.21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Utility – Water/Sewer (Brunswick County)</t>
        </is>
      </c>
      <c r="H26" s="3">
        <f>SUMIF($C$4:$C$119,G26,$E$4:$E$119)</f>
        <v>78.84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Transfers to People (Venmo/Zelle)</t>
        </is>
      </c>
      <c r="H27" s="3">
        <f>SUMIF($C$4:$C$119,G27,$E$4:$E$119)</f>
        <v>75.0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Dental Insurance – Delta Dental</t>
        </is>
      </c>
      <c r="H28" s="3">
        <f>SUMIF($C$4:$C$119,G28,$E$4:$E$119)</f>
        <v>69.36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Autobooks – NextGen (910-931-1027)</t>
        </is>
      </c>
      <c r="H29" s="3">
        <f>SUMIF($C$4:$C$119,G29,$E$4:$E$119)</f>
        <v>60.0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Groceries</t>
        </is>
      </c>
      <c r="D30" s="2" t="inlineStr">
        <is>
          <t xml:space="preserve">Food</t>
        </is>
      </c>
      <c r="E30" s="3">
        <v>225.23</v>
      </c>
      <c r="G30" s="2" t="inlineStr">
        <is>
          <t xml:space="preserve">Home Improvement (Lowe's)</t>
        </is>
      </c>
      <c r="H30" s="3">
        <f>SUMIF($C$4:$C$119,G30,$E$4:$E$119)</f>
        <v>27.67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Tolls &amp; Parking</t>
        </is>
      </c>
      <c r="H31" s="3">
        <f>SUMIF($C$4:$C$119,G31,$E$4:$E$119)</f>
        <v>5.84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TV</t>
        </is>
      </c>
      <c r="D32" s="2" t="inlineStr">
        <is>
          <t xml:space="preserve">Subscriptions</t>
        </is>
      </c>
      <c r="E32" s="3">
        <v>22.41</v>
      </c>
      <c r="G32" s="8" t="inlineStr">
        <is>
          <t xml:space="preserve">Total</t>
        </is>
      </c>
      <c r="H32" s="9">
        <f>SUM(H4:H31)</f>
        <v>17341.81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Personal Care (Hair, Beauty)</t>
        </is>
      </c>
      <c r="D33" s="2" t="inlineStr">
        <is>
          <t xml:space="preserve">Personal</t>
        </is>
      </c>
      <c r="E33" s="3">
        <v>150.0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Other</t>
        </is>
      </c>
      <c r="E35" s="3">
        <v>830.0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Home Improvement (Lowe's)</t>
        </is>
      </c>
      <c r="D38" s="2" t="inlineStr">
        <is>
          <t xml:space="preserve">Home</t>
        </is>
      </c>
      <c r="E38" s="3">
        <v>27.67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Health Premium – WTW / Via Benefits</t>
        </is>
      </c>
      <c r="D39" s="2" t="inlineStr">
        <is>
          <t xml:space="preserve">Insurance</t>
        </is>
      </c>
      <c r="E39" s="3">
        <v>2576.0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Utility – Internet (Focus Broadband)</t>
        </is>
      </c>
      <c r="D45" s="2" t="inlineStr">
        <is>
          <t xml:space="preserve">Utilities</t>
        </is>
      </c>
      <c r="E45" s="3">
        <v>80.79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Shopping &amp; Household</t>
        </is>
      </c>
      <c r="D51" s="2" t="inlineStr">
        <is>
          <t xml:space="preserve">Shopping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Personal Care (Hair, Beauty)</t>
        </is>
      </c>
      <c r="D52" s="2" t="inlineStr">
        <is>
          <t xml:space="preserve">Personal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Groceries</t>
        </is>
      </c>
      <c r="D57" s="2" t="inlineStr">
        <is>
          <t xml:space="preserve">Food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Groceries</t>
        </is>
      </c>
      <c r="D64" s="2" t="inlineStr">
        <is>
          <t xml:space="preserve">Food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TV</t>
        </is>
      </c>
      <c r="D65" s="2" t="inlineStr">
        <is>
          <t xml:space="preserve">Subscriptions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Debt Payments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Groceries</t>
        </is>
      </c>
      <c r="D69" s="2" t="inlineStr">
        <is>
          <t xml:space="preserve">Food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Groceries</t>
        </is>
      </c>
      <c r="D74" s="2" t="inlineStr">
        <is>
          <t xml:space="preserve">Food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Groceries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Groceries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Shopping &amp; Household</t>
        </is>
      </c>
      <c r="D82" s="2" t="inlineStr">
        <is>
          <t xml:space="preserve">Shopping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Shopping &amp; Household</t>
        </is>
      </c>
      <c r="D83" s="2" t="inlineStr">
        <is>
          <t xml:space="preserve">Shopping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Groceries</t>
        </is>
      </c>
      <c r="D84" s="2" t="inlineStr">
        <is>
          <t xml:space="preserve">Food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Shopping &amp; Household</t>
        </is>
      </c>
      <c r="D85" s="2" t="inlineStr">
        <is>
          <t xml:space="preserve">Shopping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Hotel, Rental)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Hotel, Rental)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Hotel, Rental)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Hotel, Rental)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Hotel, Rental)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Hotel, Rental)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TV</t>
        </is>
      </c>
      <c r="D110" s="2" t="inlineStr">
        <is>
          <t xml:space="preserve">Subscriptions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Medical &amp;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TV</t>
        </is>
      </c>
      <c r="D112" s="2" t="inlineStr">
        <is>
          <t xml:space="preserve">Subscriptions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Medical &amp;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Groceries</t>
        </is>
      </c>
      <c r="D114" s="2" t="inlineStr">
        <is>
          <t xml:space="preserve">Food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Utilities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Autobooks – NextGen (910-931-1027)</t>
        </is>
      </c>
      <c r="D118" s="2" t="inlineStr">
        <is>
          <t xml:space="preserve">Other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Personal Care (Hair, Beauty)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(116 items)</t>
        </is>
      </c>
      <c r="E120" s="9">
        <f>SUM(E4:E119)</f>
        <v>17341.81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Credit Card – American Express</t>
        </is>
      </c>
      <c r="H4" s="3">
        <f>SUMIF($C$4:$C$127,G4,$E$4:$E$127)</f>
        <v>7227.09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A&amp;D Mortgage</t>
        </is>
      </c>
      <c r="H5" s="3">
        <f>SUMIF($C$4:$C$127,G5,$E$4:$E$127)</f>
        <v>3411.1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Travel (Lyft, Hotel, Rental)</t>
        </is>
      </c>
      <c r="H6" s="3">
        <f>SUMIF($C$4:$C$127,G6,$E$4:$E$127)</f>
        <v>2891.98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Health Premium – WTW / Via Benefits</t>
        </is>
      </c>
      <c r="H7" s="3">
        <f>SUMIF($C$4:$C$127,G7,$E$4:$E$127)</f>
        <v>2576.0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TV</t>
        </is>
      </c>
      <c r="D8" s="2" t="inlineStr">
        <is>
          <t xml:space="preserve">Subscriptions</t>
        </is>
      </c>
      <c r="E8" s="3">
        <v>12.8</v>
      </c>
      <c r="G8" s="2" t="inlineStr">
        <is>
          <t xml:space="preserve">St. James Membership (Club)</t>
        </is>
      </c>
      <c r="H8" s="3">
        <f>SUMIF($C$4:$C$127,G8,$E$4:$E$127)</f>
        <v>1601.56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Groceries</t>
        </is>
      </c>
      <c r="H9" s="3">
        <f>SUMIF($C$4:$C$127,G9,$E$4:$E$127)</f>
        <v>1279.24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Groceries</t>
        </is>
      </c>
      <c r="D10" s="2" t="inlineStr">
        <is>
          <t xml:space="preserve">Food</t>
        </is>
      </c>
      <c r="E10" s="3">
        <v>2.14</v>
      </c>
      <c r="G10" s="2" t="inlineStr">
        <is>
          <t xml:space="preserve">Credit Card – Belk (Synchrony)</t>
        </is>
      </c>
      <c r="H10" s="3">
        <f>SUMIF($C$4:$C$127,G10,$E$4:$E$127)</f>
        <v>948.04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Restaurants &amp; Takeout</t>
        </is>
      </c>
      <c r="H11" s="3">
        <f>SUMIF($C$4:$C$127,G11,$E$4:$E$127)</f>
        <v>935.1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Transfers to People (Venmo/Zelle)</t>
        </is>
      </c>
      <c r="H12" s="3">
        <f>SUMIF($C$4:$C$127,G12,$E$4:$E$127)</f>
        <v>764.05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Banner Life Insurance</t>
        </is>
      </c>
      <c r="H13" s="3">
        <f>SUMIF($C$4:$C$127,G13,$E$4:$E$127)</f>
        <v>710.06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Entertainment &amp; Events</t>
        </is>
      </c>
      <c r="H14" s="3">
        <f>SUMIF($C$4:$C$127,G14,$E$4:$E$127)</f>
        <v>400.0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Other WF Account</t>
        </is>
      </c>
      <c r="D15" s="2" t="inlineStr">
        <is>
          <t xml:space="preserve">Transfers</t>
        </is>
      </c>
      <c r="E15" s="3">
        <v>3.26</v>
      </c>
      <c r="G15" s="2" t="inlineStr">
        <is>
          <t xml:space="preserve">Allstate Insurance</t>
        </is>
      </c>
      <c r="H15" s="3">
        <f>SUMIF($C$4:$C$127,G15,$E$4:$E$127)</f>
        <v>360.42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– American Express</t>
        </is>
      </c>
      <c r="D16" s="2" t="inlineStr">
        <is>
          <t xml:space="preserve">Debt Payments</t>
        </is>
      </c>
      <c r="E16" s="3">
        <v>226.19</v>
      </c>
      <c r="G16" s="2" t="inlineStr">
        <is>
          <t xml:space="preserve">Utility – Electric (BEMC)</t>
        </is>
      </c>
      <c r="H16" s="3">
        <f>SUMIF($C$4:$C$127,G16,$E$4:$E$127)</f>
        <v>336.35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– American Express</t>
        </is>
      </c>
      <c r="D17" s="2" t="inlineStr">
        <is>
          <t xml:space="preserve">Debt Payments</t>
        </is>
      </c>
      <c r="E17" s="3">
        <v>4000.9</v>
      </c>
      <c r="G17" s="2" t="inlineStr">
        <is>
          <t xml:space="preserve">Verizon Wireless</t>
        </is>
      </c>
      <c r="H17" s="3">
        <f>SUMIF($C$4:$C$127,G17,$E$4:$E$127)</f>
        <v>294.8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Gas &amp; Convenience Stores</t>
        </is>
      </c>
      <c r="H18" s="3">
        <f>SUMIF($C$4:$C$127,G18,$E$4:$E$127)</f>
        <v>277.87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Home Services (Cleaning, Pest, Lawn)</t>
        </is>
      </c>
      <c r="H19" s="3">
        <f>SUMIF($C$4:$C$127,G19,$E$4:$E$127)</f>
        <v>242.05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Shopping &amp; Household</t>
        </is>
      </c>
      <c r="H20" s="3">
        <f>SUMIF($C$4:$C$127,G20,$E$4:$E$127)</f>
        <v>202.14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Streaming TV</t>
        </is>
      </c>
      <c r="H21" s="3">
        <f>SUMIF($C$4:$C$127,G21,$E$4:$E$127)</f>
        <v>201.6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Software &amp; Online Subscriptions</t>
        </is>
      </c>
      <c r="H22" s="3">
        <f>SUMIF($C$4:$C$127,G22,$E$4:$E$127)</f>
        <v>161.05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Groceries</t>
        </is>
      </c>
      <c r="D23" s="2" t="inlineStr">
        <is>
          <t xml:space="preserve">Food</t>
        </is>
      </c>
      <c r="E23" s="3">
        <v>41.57</v>
      </c>
      <c r="G23" s="2" t="inlineStr">
        <is>
          <t xml:space="preserve">Student Loan (Dept of Education)</t>
        </is>
      </c>
      <c r="H23" s="3">
        <f>SUMIF($C$4:$C$127,G23,$E$4:$E$127)</f>
        <v>160.37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Medical &amp; Pharmacy</t>
        </is>
      </c>
      <c r="H24" s="3">
        <f>SUMIF($C$4:$C$127,G24,$E$4:$E$127)</f>
        <v>100.93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Groceries</t>
        </is>
      </c>
      <c r="D25" s="2" t="inlineStr">
        <is>
          <t xml:space="preserve">Food</t>
        </is>
      </c>
      <c r="E25" s="3">
        <v>93.02</v>
      </c>
      <c r="G25" s="2" t="inlineStr">
        <is>
          <t xml:space="preserve">Autobooks – NextGen (910-931-1027)</t>
        </is>
      </c>
      <c r="H25" s="3">
        <f>SUMIF($C$4:$C$127,G25,$E$4:$E$127)</f>
        <v>100.0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TV</t>
        </is>
      </c>
      <c r="D26" s="2" t="inlineStr">
        <is>
          <t xml:space="preserve">Subscriptions</t>
        </is>
      </c>
      <c r="E26" s="3">
        <v>89.0</v>
      </c>
      <c r="G26" s="2" t="inlineStr">
        <is>
          <t xml:space="preserve">Life Insurance (Lincoln National)</t>
        </is>
      </c>
      <c r="H26" s="3">
        <f>SUMIF($C$4:$C$127,G26,$E$4:$E$127)</f>
        <v>73.61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TV</t>
        </is>
      </c>
      <c r="D27" s="2" t="inlineStr">
        <is>
          <t xml:space="preserve">Subscriptions</t>
        </is>
      </c>
      <c r="E27" s="3">
        <v>11.78</v>
      </c>
      <c r="G27" s="2" t="inlineStr">
        <is>
          <t xml:space="preserve">Dental Insurance – Delta Dental</t>
        </is>
      </c>
      <c r="H27" s="3">
        <f>SUMIF($C$4:$C$127,G27,$E$4:$E$127)</f>
        <v>69.36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TV</t>
        </is>
      </c>
      <c r="D28" s="2" t="inlineStr">
        <is>
          <t xml:space="preserve">Subscriptions</t>
        </is>
      </c>
      <c r="E28" s="3">
        <v>20.27</v>
      </c>
      <c r="G28" s="2" t="inlineStr">
        <is>
          <t xml:space="preserve">St. James Marina</t>
        </is>
      </c>
      <c r="H28" s="3">
        <f>SUMIF($C$4:$C$127,G28,$E$4:$E$127)</f>
        <v>33.54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Transfer to Other WF Account</t>
        </is>
      </c>
      <c r="H29" s="3">
        <f>SUMIF($C$4:$C$127,G29,$E$4:$E$127)</f>
        <v>3.26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Shopping &amp; Household</t>
        </is>
      </c>
      <c r="D30" s="2" t="inlineStr">
        <is>
          <t xml:space="preserve">Shopping</t>
        </is>
      </c>
      <c r="E30" s="3">
        <v>57.43</v>
      </c>
      <c r="G30" s="8" t="inlineStr">
        <is>
          <t xml:space="preserve">Total</t>
        </is>
      </c>
      <c r="H30" s="9">
        <f>SUM(H4:H29)</f>
        <v>25361.57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Medical &amp; Pharmacy</t>
        </is>
      </c>
      <c r="D31" s="2" t="inlineStr">
        <is>
          <t xml:space="preserve">Health</t>
        </is>
      </c>
      <c r="E31" s="3">
        <v>14.99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Shopping &amp; Household</t>
        </is>
      </c>
      <c r="D32" s="2" t="inlineStr">
        <is>
          <t xml:space="preserve">Shopping</t>
        </is>
      </c>
      <c r="E32" s="3">
        <v>19.06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10.1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Groceries</t>
        </is>
      </c>
      <c r="D34" s="2" t="inlineStr">
        <is>
          <t xml:space="preserve">Food</t>
        </is>
      </c>
      <c r="E34" s="3">
        <v>18.98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8.85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Shopping &amp; Household</t>
        </is>
      </c>
      <c r="D39" s="2" t="inlineStr">
        <is>
          <t xml:space="preserve">Shopping</t>
        </is>
      </c>
      <c r="E39" s="3">
        <v>12.21</v>
      </c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Restaurants &amp; Takeout</t>
        </is>
      </c>
      <c r="D42" s="2" t="inlineStr">
        <is>
          <t xml:space="preserve">Food</t>
        </is>
      </c>
      <c r="E42" s="3">
        <v>6.21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Groceries</t>
        </is>
      </c>
      <c r="D45" s="2" t="inlineStr">
        <is>
          <t xml:space="preserve">Food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Groceries</t>
        </is>
      </c>
      <c r="D49" s="2" t="inlineStr">
        <is>
          <t xml:space="preserve">Food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TV</t>
        </is>
      </c>
      <c r="D50" s="2" t="inlineStr">
        <is>
          <t xml:space="preserve">Subscriptions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– American Express</t>
        </is>
      </c>
      <c r="D55" s="2" t="inlineStr">
        <is>
          <t xml:space="preserve">Debt Payments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Autobooks – NextGen (910-931-1027)</t>
        </is>
      </c>
      <c r="D56" s="2" t="inlineStr">
        <is>
          <t xml:space="preserve">Other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Shopping &amp; Household</t>
        </is>
      </c>
      <c r="D57" s="2" t="inlineStr">
        <is>
          <t xml:space="preserve">Shopping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Groceries</t>
        </is>
      </c>
      <c r="D58" s="2" t="inlineStr">
        <is>
          <t xml:space="preserve">Food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Health Premium – WTW / Via Benefits</t>
        </is>
      </c>
      <c r="D59" s="2" t="inlineStr">
        <is>
          <t xml:space="preserve">Insurance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Groceries</t>
        </is>
      </c>
      <c r="D62" s="2" t="inlineStr">
        <is>
          <t xml:space="preserve">Food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Groceries</t>
        </is>
      </c>
      <c r="D63" s="2" t="inlineStr">
        <is>
          <t xml:space="preserve">Food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Shopping &amp; Household</t>
        </is>
      </c>
      <c r="D66" s="2" t="inlineStr">
        <is>
          <t xml:space="preserve">Shopping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Medical &amp;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Groceries</t>
        </is>
      </c>
      <c r="D69" s="2" t="inlineStr">
        <is>
          <t xml:space="preserve">Food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Credit Card – Belk (Synchrony)</t>
        </is>
      </c>
      <c r="D70" s="2" t="inlineStr">
        <is>
          <t xml:space="preserve">Debt Payments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TV</t>
        </is>
      </c>
      <c r="D76" s="2" t="inlineStr">
        <is>
          <t xml:space="preserve">Subscriptions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Groceries</t>
        </is>
      </c>
      <c r="D77" s="2" t="inlineStr">
        <is>
          <t xml:space="preserve">Food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(Cleaning, Pest, Lawn)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Groceries</t>
        </is>
      </c>
      <c r="D89" s="2" t="inlineStr">
        <is>
          <t xml:space="preserve">Food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Groceries</t>
        </is>
      </c>
      <c r="D91" s="2" t="inlineStr">
        <is>
          <t xml:space="preserve">Food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Credit Card – Belk (Synchrony)</t>
        </is>
      </c>
      <c r="D92" s="2" t="inlineStr">
        <is>
          <t xml:space="preserve">Debt Payments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– American Express</t>
        </is>
      </c>
      <c r="D96" s="2" t="inlineStr">
        <is>
          <t xml:space="preserve">Debt Payments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Groceries</t>
        </is>
      </c>
      <c r="D99" s="2" t="inlineStr">
        <is>
          <t xml:space="preserve">Food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Groceries</t>
        </is>
      </c>
      <c r="D101" s="2" t="inlineStr">
        <is>
          <t xml:space="preserve">Food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Groceries</t>
        </is>
      </c>
      <c r="D103" s="2" t="inlineStr">
        <is>
          <t xml:space="preserve">Food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Groceries</t>
        </is>
      </c>
      <c r="D109" s="2" t="inlineStr">
        <is>
          <t xml:space="preserve">Food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Medical &amp;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Groceries</t>
        </is>
      </c>
      <c r="D117" s="2" t="inlineStr">
        <is>
          <t xml:space="preserve">Food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Utilities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TV</t>
        </is>
      </c>
      <c r="D119" s="2" t="inlineStr">
        <is>
          <t xml:space="preserve">Subscriptions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Travel (Lyft, Hotel, Rental)</t>
        </is>
      </c>
      <c r="D121" s="2" t="inlineStr">
        <is>
          <t xml:space="preserve">Travel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TV</t>
        </is>
      </c>
      <c r="D123" s="2" t="inlineStr">
        <is>
          <t xml:space="preserve">Subscriptions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Home Services (Cleaning, Pest, Lawn)</t>
        </is>
      </c>
      <c r="D126" s="2" t="inlineStr">
        <is>
          <t xml:space="preserve">Home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Shopping &amp; Household</t>
        </is>
      </c>
      <c r="D127" s="2" t="inlineStr">
        <is>
          <t xml:space="preserve">Shopping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(124 items)</t>
        </is>
      </c>
      <c r="E128" s="9">
        <f>SUM(E4:E127)</f>
        <v>25361.57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Credit Card – American Express</t>
        </is>
      </c>
      <c r="H4" s="3">
        <f>SUMIF($C$4:$C$110,G4,$E$4:$E$110)</f>
        <v>4593.08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A&amp;D Mortgage</t>
        </is>
      </c>
      <c r="H5" s="3">
        <f>SUMIF($C$4:$C$110,G5,$E$4:$E$110)</f>
        <v>3411.1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Health Premium – WTW / Via Benefits</t>
        </is>
      </c>
      <c r="H6" s="3">
        <f>SUMIF($C$4:$C$110,G6,$E$4:$E$110)</f>
        <v>2576.0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Shopping &amp; Household</t>
        </is>
      </c>
      <c r="H7" s="3">
        <f>SUMIF($C$4:$C$110,G7,$E$4:$E$110)</f>
        <v>2208.92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St. James Membership (Club)</t>
        </is>
      </c>
      <c r="H8" s="3">
        <f>SUMIF($C$4:$C$110,G8,$E$4:$E$110)</f>
        <v>1492.11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Groceries</t>
        </is>
      </c>
      <c r="H9" s="3">
        <f>SUMIF($C$4:$C$110,G9,$E$4:$E$110)</f>
        <v>1190.12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Restaurants &amp; Takeout</t>
        </is>
      </c>
      <c r="H10" s="3">
        <f>SUMIF($C$4:$C$110,G10,$E$4:$E$110)</f>
        <v>962.62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TV</t>
        </is>
      </c>
      <c r="D11" s="2" t="inlineStr">
        <is>
          <t xml:space="preserve">Subscriptions</t>
        </is>
      </c>
      <c r="E11" s="3">
        <v>12.8</v>
      </c>
      <c r="G11" s="2" t="inlineStr">
        <is>
          <t xml:space="preserve">Medical &amp; Pharmacy</t>
        </is>
      </c>
      <c r="H11" s="3">
        <f>SUMIF($C$4:$C$110,G11,$E$4:$E$110)</f>
        <v>850.9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Groceries</t>
        </is>
      </c>
      <c r="D12" s="2" t="inlineStr">
        <is>
          <t xml:space="preserve">Food</t>
        </is>
      </c>
      <c r="E12" s="3">
        <v>85.7</v>
      </c>
      <c r="G12" s="2" t="inlineStr">
        <is>
          <t xml:space="preserve">Checks Written (payee not shown)</t>
        </is>
      </c>
      <c r="H12" s="3">
        <f>SUMIF($C$4:$C$110,G12,$E$4:$E$110)</f>
        <v>728.0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– American Express</t>
        </is>
      </c>
      <c r="D13" s="2" t="inlineStr">
        <is>
          <t xml:space="preserve">Debt Payments</t>
        </is>
      </c>
      <c r="E13" s="3">
        <v>3929.91</v>
      </c>
      <c r="G13" s="2" t="inlineStr">
        <is>
          <t xml:space="preserve">Banner Life Insurance</t>
        </is>
      </c>
      <c r="H13" s="3">
        <f>SUMIF($C$4:$C$110,G13,$E$4:$E$110)</f>
        <v>710.06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Personal Care (Hair, Beauty)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Home Services (Cleaning, Pest, Lawn)</t>
        </is>
      </c>
      <c r="H14" s="3">
        <f>SUMIF($C$4:$C$110,G14,$E$4:$E$110)</f>
        <v>536.6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Allstate Insurance</t>
        </is>
      </c>
      <c r="H15" s="3">
        <f>SUMIF($C$4:$C$110,G15,$E$4:$E$110)</f>
        <v>475.42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Utility – Internet (Focus Broadband)</t>
        </is>
      </c>
      <c r="D16" s="2" t="inlineStr">
        <is>
          <t xml:space="preserve">Utilities</t>
        </is>
      </c>
      <c r="E16" s="3">
        <v>80.79</v>
      </c>
      <c r="G16" s="2" t="inlineStr">
        <is>
          <t xml:space="preserve">Verizon Wireless</t>
        </is>
      </c>
      <c r="H16" s="3">
        <f>SUMIF($C$4:$C$110,G16,$E$4:$E$110)</f>
        <v>436.02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&amp; Pharmacy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Health Insurance – Blue Cross NC</t>
        </is>
      </c>
      <c r="H17" s="3">
        <f>SUMIF($C$4:$C$110,G17,$E$4:$E$110)</f>
        <v>432.5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Utility – Electric (BEMC)</t>
        </is>
      </c>
      <c r="H18" s="3">
        <f>SUMIF($C$4:$C$110,G18,$E$4:$E$110)</f>
        <v>406.96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Transfers to People (Venmo/Zelle)</t>
        </is>
      </c>
      <c r="H19" s="3">
        <f>SUMIF($C$4:$C$110,G19,$E$4:$E$110)</f>
        <v>331.5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Autobooks – NextGen (910-931-1027)</t>
        </is>
      </c>
      <c r="D20" s="2" t="inlineStr">
        <is>
          <t xml:space="preserve">Other</t>
        </is>
      </c>
      <c r="E20" s="3">
        <v>100.0</v>
      </c>
      <c r="G20" s="2" t="inlineStr">
        <is>
          <t xml:space="preserve">Autobooks – NextGen (910-931-1027)</t>
        </is>
      </c>
      <c r="H20" s="3">
        <f>SUMIF($C$4:$C$110,G20,$E$4:$E$110)</f>
        <v>220.0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(Cleaning, Pest, Lawn)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Personal Care (Hair, Beauty)</t>
        </is>
      </c>
      <c r="H21" s="3">
        <f>SUMIF($C$4:$C$110,G21,$E$4:$E$110)</f>
        <v>182.5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TV</t>
        </is>
      </c>
      <c r="D22" s="2" t="inlineStr">
        <is>
          <t xml:space="preserve">Subscriptions</t>
        </is>
      </c>
      <c r="E22" s="3">
        <v>89.0</v>
      </c>
      <c r="G22" s="2" t="inlineStr">
        <is>
          <t xml:space="preserve">Utility – Water/Sewer (Brunswick County)</t>
        </is>
      </c>
      <c r="H22" s="3">
        <f>SUMIF($C$4:$C$110,G22,$E$4:$E$110)</f>
        <v>179.33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Home Improvement (Lowe's)</t>
        </is>
      </c>
      <c r="H23" s="3">
        <f>SUMIF($C$4:$C$110,G23,$E$4:$E$110)</f>
        <v>171.55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Groceries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Gas &amp; Convenience Stores</t>
        </is>
      </c>
      <c r="H24" s="3">
        <f>SUMIF($C$4:$C$110,G24,$E$4:$E$110)</f>
        <v>167.24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TV</t>
        </is>
      </c>
      <c r="D25" s="2" t="inlineStr">
        <is>
          <t xml:space="preserve">Subscriptions</t>
        </is>
      </c>
      <c r="E25" s="3">
        <v>20.27</v>
      </c>
      <c r="G25" s="2" t="inlineStr">
        <is>
          <t xml:space="preserve">Utility – Internet (Focus Broadband)</t>
        </is>
      </c>
      <c r="H25" s="3">
        <f>SUMIF($C$4:$C$110,G25,$E$4:$E$110)</f>
        <v>161.58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Student Loan (Dept of Education)</t>
        </is>
      </c>
      <c r="H26" s="3">
        <f>SUMIF($C$4:$C$110,G26,$E$4:$E$110)</f>
        <v>160.37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Streaming TV</t>
        </is>
      </c>
      <c r="H27" s="3">
        <f>SUMIF($C$4:$C$110,G27,$E$4:$E$110)</f>
        <v>158.35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Life Insurance (Lincoln National)</t>
        </is>
      </c>
      <c r="H28" s="3">
        <f>SUMIF($C$4:$C$110,G28,$E$4:$E$110)</f>
        <v>73.61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Dental Insurance – Delta Dental</t>
        </is>
      </c>
      <c r="H29" s="3">
        <f>SUMIF($C$4:$C$110,G29,$E$4:$E$110)</f>
        <v>69.36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Software &amp; Online Subscriptions</t>
        </is>
      </c>
      <c r="H30" s="3">
        <f>SUMIF($C$4:$C$110,G30,$E$4:$E$110)</f>
        <v>65.98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Tolls &amp; Parking</t>
        </is>
      </c>
      <c r="H31" s="3">
        <f>SUMIF($C$4:$C$110,G31,$E$4:$E$110)</f>
        <v>18.44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Entertainment &amp; Events</t>
        </is>
      </c>
      <c r="H32" s="3">
        <f>SUMIF($C$4:$C$110,G32,$E$4:$E$110)</f>
        <v>13.5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8" t="inlineStr">
        <is>
          <t xml:space="preserve">Total</t>
        </is>
      </c>
      <c r="H33" s="9">
        <f>SUM(H4:H32)</f>
        <v>22983.72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Medical &amp; Pharmacy</t>
        </is>
      </c>
      <c r="D36" s="2" t="inlineStr">
        <is>
          <t xml:space="preserve">Health</t>
        </is>
      </c>
      <c r="E36" s="3">
        <v>202.55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Shopping &amp; Household</t>
        </is>
      </c>
      <c r="D37" s="2" t="inlineStr">
        <is>
          <t xml:space="preserve">Shopping</t>
        </is>
      </c>
      <c r="E37" s="3">
        <v>1461.9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Groceries</t>
        </is>
      </c>
      <c r="D43" s="2" t="inlineStr">
        <is>
          <t xml:space="preserve">Food</t>
        </is>
      </c>
      <c r="E43" s="3">
        <v>239.44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Groceries</t>
        </is>
      </c>
      <c r="D47" s="2" t="inlineStr">
        <is>
          <t xml:space="preserve">Food</t>
        </is>
      </c>
      <c r="E47" s="3">
        <v>63.82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Shopping &amp; Household</t>
        </is>
      </c>
      <c r="D48" s="2" t="inlineStr">
        <is>
          <t xml:space="preserve">Shopping</t>
        </is>
      </c>
      <c r="E48" s="3">
        <v>17.35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Shopping &amp; Household</t>
        </is>
      </c>
      <c r="D49" s="2" t="inlineStr">
        <is>
          <t xml:space="preserve">Shopping</t>
        </is>
      </c>
      <c r="E49" s="3">
        <v>20.66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Groceries</t>
        </is>
      </c>
      <c r="D50" s="2" t="inlineStr">
        <is>
          <t xml:space="preserve">Food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Autobooks – NextGen (910-931-1027)</t>
        </is>
      </c>
      <c r="D52" s="2" t="inlineStr">
        <is>
          <t xml:space="preserve">Other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TV</t>
        </is>
      </c>
      <c r="D53" s="2" t="inlineStr">
        <is>
          <t xml:space="preserve">Subscriptions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Groceries</t>
        </is>
      </c>
      <c r="D54" s="2" t="inlineStr">
        <is>
          <t xml:space="preserve">Food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Home Services (Cleaning, Pest, Lawn)</t>
        </is>
      </c>
      <c r="D55" s="2" t="inlineStr">
        <is>
          <t xml:space="preserve">Home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Other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Medical &amp;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Groceries</t>
        </is>
      </c>
      <c r="D58" s="2" t="inlineStr">
        <is>
          <t xml:space="preserve">Food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Health Premium – WTW / Via Benefits</t>
        </is>
      </c>
      <c r="D60" s="2" t="inlineStr">
        <is>
          <t xml:space="preserve">Insurance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Home Improvement (Lowe's)</t>
        </is>
      </c>
      <c r="D62" s="2" t="inlineStr">
        <is>
          <t xml:space="preserve">Home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Utility – Internet (Focus Broadband)</t>
        </is>
      </c>
      <c r="D63" s="2" t="inlineStr">
        <is>
          <t xml:space="preserve">Utilities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Shopping &amp; Household</t>
        </is>
      </c>
      <c r="D67" s="2" t="inlineStr">
        <is>
          <t xml:space="preserve">Shopping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Groceries</t>
        </is>
      </c>
      <c r="D70" s="2" t="inlineStr">
        <is>
          <t xml:space="preserve">Food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Other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TV</t>
        </is>
      </c>
      <c r="D75" s="2" t="inlineStr">
        <is>
          <t xml:space="preserve">Subscriptions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&amp; Pharmacy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Shopping &amp; Household</t>
        </is>
      </c>
      <c r="D77" s="2" t="inlineStr">
        <is>
          <t xml:space="preserve">Shopping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Shopping &amp; Household</t>
        </is>
      </c>
      <c r="D78" s="2" t="inlineStr">
        <is>
          <t xml:space="preserve">Shopping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Groceries</t>
        </is>
      </c>
      <c r="D83" s="2" t="inlineStr">
        <is>
          <t xml:space="preserve">Food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Shopping &amp; Household</t>
        </is>
      </c>
      <c r="D85" s="2" t="inlineStr">
        <is>
          <t xml:space="preserve">Shopping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Groceries</t>
        </is>
      </c>
      <c r="D87" s="2" t="inlineStr">
        <is>
          <t xml:space="preserve">Food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Autobooks – NextGen (910-931-1027)</t>
        </is>
      </c>
      <c r="D91" s="2" t="inlineStr">
        <is>
          <t xml:space="preserve">Other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Shopping &amp; Household</t>
        </is>
      </c>
      <c r="D92" s="2" t="inlineStr">
        <is>
          <t xml:space="preserve">Shopping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Groceries</t>
        </is>
      </c>
      <c r="D93" s="2" t="inlineStr">
        <is>
          <t xml:space="preserve">Food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Other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Medical &amp;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– American Express</t>
        </is>
      </c>
      <c r="D97" s="2" t="inlineStr">
        <is>
          <t xml:space="preserve">Debt Payments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Personal Care (Hair, Beauty)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Shopping &amp; Household</t>
        </is>
      </c>
      <c r="D100" s="2" t="inlineStr">
        <is>
          <t xml:space="preserve">Shopping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Groceries</t>
        </is>
      </c>
      <c r="D104" s="2" t="inlineStr">
        <is>
          <t xml:space="preserve">Food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Groceries</t>
        </is>
      </c>
      <c r="D105" s="2" t="inlineStr">
        <is>
          <t xml:space="preserve">Food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Utilities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Shopping &amp; Household</t>
        </is>
      </c>
      <c r="D108" s="2" t="inlineStr">
        <is>
          <t xml:space="preserve">Shopping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Groceries</t>
        </is>
      </c>
      <c r="D109" s="2" t="inlineStr">
        <is>
          <t xml:space="preserve">Food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(107 items)</t>
        </is>
      </c>
      <c r="E111" s="9">
        <f>SUM(E4:E110)</f>
        <v>22983.72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Credit Card – American Express</t>
        </is>
      </c>
      <c r="H4" s="3">
        <f>SUMIF($C$4:$C$88,G4,$E$4:$E$88)</f>
        <v>4738.51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24.51</v>
      </c>
      <c r="G5" s="2" t="inlineStr">
        <is>
          <t xml:space="preserve">A&amp;D Mortgage</t>
        </is>
      </c>
      <c r="H5" s="3">
        <f>SUMIF($C$4:$C$88,G5,$E$4:$E$88)</f>
        <v>3411.1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Health Premium – WTW / Via Benefits</t>
        </is>
      </c>
      <c r="H6" s="3">
        <f>SUMIF($C$4:$C$88,G6,$E$4:$E$88)</f>
        <v>2576.0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&amp; Pharmacy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St. James Membership (Club)</t>
        </is>
      </c>
      <c r="H7" s="3">
        <f>SUMIF($C$4:$C$88,G7,$E$4:$E$88)</f>
        <v>1767.0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Groceries</t>
        </is>
      </c>
      <c r="H8" s="3">
        <f>SUMIF($C$4:$C$88,G8,$E$4:$E$88)</f>
        <v>1202.5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TV</t>
        </is>
      </c>
      <c r="D9" s="2" t="inlineStr">
        <is>
          <t xml:space="preserve">Subscriptions</t>
        </is>
      </c>
      <c r="E9" s="3">
        <v>89.0</v>
      </c>
      <c r="G9" s="2" t="inlineStr">
        <is>
          <t xml:space="preserve">Restaurants &amp; Takeout</t>
        </is>
      </c>
      <c r="H9" s="3">
        <f>SUMIF($C$4:$C$88,G9,$E$4:$E$88)</f>
        <v>872.56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TV</t>
        </is>
      </c>
      <c r="D10" s="2" t="inlineStr">
        <is>
          <t xml:space="preserve">Subscriptions</t>
        </is>
      </c>
      <c r="E10" s="3">
        <v>20.27</v>
      </c>
      <c r="G10" s="2" t="inlineStr">
        <is>
          <t xml:space="preserve">Banner Life Insurance</t>
        </is>
      </c>
      <c r="H10" s="3">
        <f>SUMIF($C$4:$C$88,G10,$E$4:$E$88)</f>
        <v>710.06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Shopping &amp; Household</t>
        </is>
      </c>
      <c r="D11" s="2" t="inlineStr">
        <is>
          <t xml:space="preserve">Shopping</t>
        </is>
      </c>
      <c r="E11" s="3">
        <v>32.63</v>
      </c>
      <c r="G11" s="2" t="inlineStr">
        <is>
          <t xml:space="preserve">Utility – Electric (BEMC)</t>
        </is>
      </c>
      <c r="H11" s="3">
        <f>SUMIF($C$4:$C$88,G11,$E$4:$E$88)</f>
        <v>419.66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Verizon Wireless</t>
        </is>
      </c>
      <c r="H12" s="3">
        <f>SUMIF($C$4:$C$88,G12,$E$4:$E$88)</f>
        <v>386.85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Groceries</t>
        </is>
      </c>
      <c r="D13" s="2" t="inlineStr">
        <is>
          <t xml:space="preserve">Food</t>
        </is>
      </c>
      <c r="E13" s="3">
        <v>5.28</v>
      </c>
      <c r="G13" s="2" t="inlineStr">
        <is>
          <t xml:space="preserve">Allstate Insurance</t>
        </is>
      </c>
      <c r="H13" s="3">
        <f>SUMIF($C$4:$C$88,G13,$E$4:$E$88)</f>
        <v>354.17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Shopping &amp; Household</t>
        </is>
      </c>
      <c r="H14" s="3">
        <f>SUMIF($C$4:$C$88,G14,$E$4:$E$88)</f>
        <v>247.84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Gas &amp; Convenience Stores</t>
        </is>
      </c>
      <c r="H15" s="3">
        <f>SUMIF($C$4:$C$88,G15,$E$4:$E$88)</f>
        <v>238.98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Groceries</t>
        </is>
      </c>
      <c r="D16" s="2" t="inlineStr">
        <is>
          <t xml:space="preserve">Food</t>
        </is>
      </c>
      <c r="E16" s="3">
        <v>98.73</v>
      </c>
      <c r="G16" s="2" t="inlineStr">
        <is>
          <t xml:space="preserve">Health Insurance – Blue Cross NC</t>
        </is>
      </c>
      <c r="H16" s="3">
        <f>SUMIF($C$4:$C$88,G16,$E$4:$E$88)</f>
        <v>216.25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Autobooks – NextGen (910-931-1027)</t>
        </is>
      </c>
      <c r="D17" s="2" t="inlineStr">
        <is>
          <t xml:space="preserve">Other</t>
        </is>
      </c>
      <c r="E17" s="3">
        <v>60.0</v>
      </c>
      <c r="G17" s="2" t="inlineStr">
        <is>
          <t xml:space="preserve">Donations &amp; Clubs (Kiwanis)</t>
        </is>
      </c>
      <c r="H17" s="3">
        <f>SUMIF($C$4:$C$88,G17,$E$4:$E$88)</f>
        <v>200.0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Groceries</t>
        </is>
      </c>
      <c r="D18" s="2" t="inlineStr">
        <is>
          <t xml:space="preserve">Food</t>
        </is>
      </c>
      <c r="E18" s="3">
        <v>53.9</v>
      </c>
      <c r="G18" s="2" t="inlineStr">
        <is>
          <t xml:space="preserve">Streaming TV</t>
        </is>
      </c>
      <c r="H18" s="3">
        <f>SUMIF($C$4:$C$88,G18,$E$4:$E$88)</f>
        <v>188.98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Groceries</t>
        </is>
      </c>
      <c r="D19" s="2" t="inlineStr">
        <is>
          <t xml:space="preserve">Food</t>
        </is>
      </c>
      <c r="E19" s="3">
        <v>174.04</v>
      </c>
      <c r="G19" s="2" t="inlineStr">
        <is>
          <t xml:space="preserve">Student Loan (Dept of Education)</t>
        </is>
      </c>
      <c r="H19" s="3">
        <f>SUMIF($C$4:$C$88,G19,$E$4:$E$88)</f>
        <v>160.37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Medical &amp; Pharmacy</t>
        </is>
      </c>
      <c r="H20" s="3">
        <f>SUMIF($C$4:$C$88,G20,$E$4:$E$88)</f>
        <v>160.28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Cash (ATM) &amp; Bank Fees</t>
        </is>
      </c>
      <c r="H21" s="3">
        <f>SUMIF($C$4:$C$88,G21,$E$4:$E$88)</f>
        <v>147.0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Transfers to People (Venmo/Zelle)</t>
        </is>
      </c>
      <c r="H22" s="3">
        <f>SUMIF($C$4:$C$88,G22,$E$4:$E$88)</f>
        <v>130.0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Autobooks – NextGen (910-931-1027)</t>
        </is>
      </c>
      <c r="H23" s="3">
        <f>SUMIF($C$4:$C$88,G23,$E$4:$E$88)</f>
        <v>120.0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Personal Care (Hair, Beauty)</t>
        </is>
      </c>
      <c r="H24" s="3">
        <f>SUMIF($C$4:$C$88,G24,$E$4:$E$88)</f>
        <v>114.5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(Hair, Beauty)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Home Improvement (Lowe's)</t>
        </is>
      </c>
      <c r="H25" s="3">
        <f>SUMIF($C$4:$C$88,G25,$E$4:$E$88)</f>
        <v>85.27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Utility – Water/Sewer (Brunswick County)</t>
        </is>
      </c>
      <c r="H26" s="3">
        <f>SUMIF($C$4:$C$88,G26,$E$4:$E$88)</f>
        <v>84.26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Groceries</t>
        </is>
      </c>
      <c r="D27" s="2" t="inlineStr">
        <is>
          <t xml:space="preserve">Food</t>
        </is>
      </c>
      <c r="E27" s="3">
        <v>28.23</v>
      </c>
      <c r="G27" s="2" t="inlineStr">
        <is>
          <t xml:space="preserve">Utility – Internet (Focus Broadband)</t>
        </is>
      </c>
      <c r="H27" s="3">
        <f>SUMIF($C$4:$C$88,G27,$E$4:$E$88)</f>
        <v>80.79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Personal Care (Hair, Beauty)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Tolls &amp; Parking</t>
        </is>
      </c>
      <c r="H28" s="3">
        <f>SUMIF($C$4:$C$88,G28,$E$4:$E$88)</f>
        <v>74.24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Life Insurance (Lincoln National)</t>
        </is>
      </c>
      <c r="H29" s="3">
        <f>SUMIF($C$4:$C$88,G29,$E$4:$E$88)</f>
        <v>73.61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TV</t>
        </is>
      </c>
      <c r="D30" s="2" t="inlineStr">
        <is>
          <t xml:space="preserve">Subscriptions</t>
        </is>
      </c>
      <c r="E30" s="3">
        <v>22.41</v>
      </c>
      <c r="G30" s="2" t="inlineStr">
        <is>
          <t xml:space="preserve">Dental Insurance – Delta Dental</t>
        </is>
      </c>
      <c r="H30" s="3">
        <f>SUMIF($C$4:$C$88,G30,$E$4:$E$88)</f>
        <v>69.36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Shopping &amp; Household</t>
        </is>
      </c>
      <c r="D31" s="2" t="inlineStr">
        <is>
          <t xml:space="preserve">Shopping</t>
        </is>
      </c>
      <c r="E31" s="3">
        <v>59.99</v>
      </c>
      <c r="G31" s="8" t="inlineStr">
        <is>
          <t xml:space="preserve">Total</t>
        </is>
      </c>
      <c r="H31" s="9">
        <f>SUM(H4:H30)</f>
        <v>18830.14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Shopping &amp; Household</t>
        </is>
      </c>
      <c r="D32" s="2" t="inlineStr">
        <is>
          <t xml:space="preserve">Shopping</t>
        </is>
      </c>
      <c r="E32" s="3">
        <v>36.99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Groceries</t>
        </is>
      </c>
      <c r="D34" s="2" t="inlineStr">
        <is>
          <t xml:space="preserve">Food</t>
        </is>
      </c>
      <c r="E34" s="3">
        <v>121.64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Groceries</t>
        </is>
      </c>
      <c r="D39" s="2" t="inlineStr">
        <is>
          <t xml:space="preserve">Food</t>
        </is>
      </c>
      <c r="E39" s="3">
        <v>221.77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Health Premium – WTW / Via Benefits</t>
        </is>
      </c>
      <c r="D40" s="2" t="inlineStr">
        <is>
          <t xml:space="preserve">Insurance</t>
        </is>
      </c>
      <c r="E40" s="3">
        <v>2576.0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&amp; Pharmacy</t>
        </is>
      </c>
      <c r="D43" s="2" t="inlineStr">
        <is>
          <t xml:space="preserve">Health</t>
        </is>
      </c>
      <c r="E43" s="3">
        <v>100.28</v>
      </c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Utility – Internet (Focus Broadband)</t>
        </is>
      </c>
      <c r="D45" s="2" t="inlineStr">
        <is>
          <t xml:space="preserve">Utilities</t>
        </is>
      </c>
      <c r="E45" s="3">
        <v>80.79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Home Improvement (Lowe's)</t>
        </is>
      </c>
      <c r="D46" s="2" t="inlineStr">
        <is>
          <t xml:space="preserve">Home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TV</t>
        </is>
      </c>
      <c r="D50" s="2" t="inlineStr">
        <is>
          <t xml:space="preserve">Subscriptions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TV</t>
        </is>
      </c>
      <c r="D51" s="2" t="inlineStr">
        <is>
          <t xml:space="preserve">Subscriptions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Groceries</t>
        </is>
      </c>
      <c r="D54" s="2" t="inlineStr">
        <is>
          <t xml:space="preserve">Food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Debt Payments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Autobooks – NextGen (910-931-1027)</t>
        </is>
      </c>
      <c r="D57" s="2" t="inlineStr">
        <is>
          <t xml:space="preserve">Other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Tolls &amp; Parking</t>
        </is>
      </c>
      <c r="D58" s="2" t="inlineStr">
        <is>
          <t xml:space="preserve">Transportation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Shopping &amp; Household</t>
        </is>
      </c>
      <c r="D62" s="2" t="inlineStr">
        <is>
          <t xml:space="preserve">Shopping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Shopping &amp; Household</t>
        </is>
      </c>
      <c r="D63" s="2" t="inlineStr">
        <is>
          <t xml:space="preserve">Shopping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Shopping &amp; Household</t>
        </is>
      </c>
      <c r="D68" s="2" t="inlineStr">
        <is>
          <t xml:space="preserve">Shopping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Groceries</t>
        </is>
      </c>
      <c r="D76" s="2" t="inlineStr">
        <is>
          <t xml:space="preserve">Food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Utilities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– American Express</t>
        </is>
      </c>
      <c r="D79" s="2" t="inlineStr">
        <is>
          <t xml:space="preserve">Debt Payments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Shopping &amp; Household</t>
        </is>
      </c>
      <c r="D80" s="2" t="inlineStr">
        <is>
          <t xml:space="preserve">Shopping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Groceries</t>
        </is>
      </c>
      <c r="D85" s="2" t="inlineStr">
        <is>
          <t xml:space="preserve">Food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(85 items)</t>
        </is>
      </c>
      <c r="E89" s="9">
        <f>SUM(E4:E88)</f>
        <v>18830.14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Credit Card – Belk (Synchrony)</t>
        </is>
      </c>
      <c r="E9" s="2" t="inlineStr">
        <is>
          <t xml:space="preserve">Debt Payments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TV</t>
        </is>
      </c>
      <c r="E10" s="2" t="inlineStr">
        <is>
          <t xml:space="preserve">Subscriptions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TV</t>
        </is>
      </c>
      <c r="E11" s="2" t="inlineStr">
        <is>
          <t xml:space="preserve">Subscriptions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TV</t>
        </is>
      </c>
      <c r="E12" s="2" t="inlineStr">
        <is>
          <t xml:space="preserve">Subscriptions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Groceries</t>
        </is>
      </c>
      <c r="E13" s="2" t="inlineStr">
        <is>
          <t xml:space="preserve">Food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Shopping &amp; Household</t>
        </is>
      </c>
      <c r="E16" s="2" t="inlineStr">
        <is>
          <t xml:space="preserve">Shopping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Personal Care (Hair, Beauty)</t>
        </is>
      </c>
      <c r="E19" s="2" t="inlineStr">
        <is>
          <t xml:space="preserve">Personal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Personal Care (Hair, Beauty)</t>
        </is>
      </c>
      <c r="E20" s="2" t="inlineStr">
        <is>
          <t xml:space="preserve">Personal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Groceries</t>
        </is>
      </c>
      <c r="E22" s="2" t="inlineStr">
        <is>
          <t xml:space="preserve">Food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Other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Groceries</t>
        </is>
      </c>
      <c r="E31" s="2" t="inlineStr">
        <is>
          <t xml:space="preserve">Food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TV</t>
        </is>
      </c>
      <c r="E33" s="2" t="inlineStr">
        <is>
          <t xml:space="preserve">Subscriptions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Personal Care (Hair, Beauty)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Other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Home Improvement (Lowe's)</t>
        </is>
      </c>
      <c r="E39" s="2" t="inlineStr">
        <is>
          <t xml:space="preserve">Home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Health Premium – WTW / Via Benefits</t>
        </is>
      </c>
      <c r="E40" s="2" t="inlineStr">
        <is>
          <t xml:space="preserve">Insurance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Utility – Internet (Focus Broadband)</t>
        </is>
      </c>
      <c r="E46" s="2" t="inlineStr">
        <is>
          <t xml:space="preserve">Utilities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Shopping &amp; Household</t>
        </is>
      </c>
      <c r="E52" s="2" t="inlineStr">
        <is>
          <t xml:space="preserve">Shopping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Personal Care (Hair, Beauty)</t>
        </is>
      </c>
      <c r="E53" s="2" t="inlineStr">
        <is>
          <t xml:space="preserve">Personal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Groceries</t>
        </is>
      </c>
      <c r="E58" s="2" t="inlineStr">
        <is>
          <t xml:space="preserve">Food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Groceries</t>
        </is>
      </c>
      <c r="E65" s="2" t="inlineStr">
        <is>
          <t xml:space="preserve">Food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TV</t>
        </is>
      </c>
      <c r="E66" s="2" t="inlineStr">
        <is>
          <t xml:space="preserve">Subscriptions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Debt Payments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Groceries</t>
        </is>
      </c>
      <c r="E70" s="2" t="inlineStr">
        <is>
          <t xml:space="preserve">Food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Groceries</t>
        </is>
      </c>
      <c r="E75" s="2" t="inlineStr">
        <is>
          <t xml:space="preserve">Food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Groceries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Groceries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Shopping &amp; Household</t>
        </is>
      </c>
      <c r="E83" s="2" t="inlineStr">
        <is>
          <t xml:space="preserve">Shopping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Shopping &amp; Household</t>
        </is>
      </c>
      <c r="E84" s="2" t="inlineStr">
        <is>
          <t xml:space="preserve">Shopping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Groceries</t>
        </is>
      </c>
      <c r="E85" s="2" t="inlineStr">
        <is>
          <t xml:space="preserve">Food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Shopping &amp; Household</t>
        </is>
      </c>
      <c r="E86" s="2" t="inlineStr">
        <is>
          <t xml:space="preserve">Shopping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Hotel, Rental)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Hotel, Rental)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Hotel, Rental)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Hotel, Rental)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Hotel, Rental)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Hotel, Rental)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TV</t>
        </is>
      </c>
      <c r="E111" s="2" t="inlineStr">
        <is>
          <t xml:space="preserve">Subscriptions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Medical &amp;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TV</t>
        </is>
      </c>
      <c r="E113" s="2" t="inlineStr">
        <is>
          <t xml:space="preserve">Subscriptions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Medical &amp;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Groceries</t>
        </is>
      </c>
      <c r="E115" s="2" t="inlineStr">
        <is>
          <t xml:space="preserve">Food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Utilities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Autobooks – NextGen (910-931-1027)</t>
        </is>
      </c>
      <c r="E119" s="2" t="inlineStr">
        <is>
          <t xml:space="preserve">Other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Personal Care (Hair, Beauty)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TV</t>
        </is>
      </c>
      <c r="E125" s="2" t="inlineStr">
        <is>
          <t xml:space="preserve">Subscriptions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Groceries</t>
        </is>
      </c>
      <c r="E127" s="2" t="inlineStr">
        <is>
          <t xml:space="preserve">Food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Other WF Account</t>
        </is>
      </c>
      <c r="E132" s="2" t="inlineStr">
        <is>
          <t xml:space="preserve">Transfers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– American Express</t>
        </is>
      </c>
      <c r="E133" s="2" t="inlineStr">
        <is>
          <t xml:space="preserve">Debt Payments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– American Express</t>
        </is>
      </c>
      <c r="E134" s="2" t="inlineStr">
        <is>
          <t xml:space="preserve">Debt Payments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Groceries</t>
        </is>
      </c>
      <c r="E140" s="2" t="inlineStr">
        <is>
          <t xml:space="preserve">Food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Groceries</t>
        </is>
      </c>
      <c r="E142" s="2" t="inlineStr">
        <is>
          <t xml:space="preserve">Food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TV</t>
        </is>
      </c>
      <c r="E143" s="2" t="inlineStr">
        <is>
          <t xml:space="preserve">Subscriptions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TV</t>
        </is>
      </c>
      <c r="E144" s="2" t="inlineStr">
        <is>
          <t xml:space="preserve">Subscriptions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TV</t>
        </is>
      </c>
      <c r="E145" s="2" t="inlineStr">
        <is>
          <t xml:space="preserve">Subscriptions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Shopping &amp; Household</t>
        </is>
      </c>
      <c r="E147" s="2" t="inlineStr">
        <is>
          <t xml:space="preserve">Shopping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Medical &amp;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Shopping &amp; Household</t>
        </is>
      </c>
      <c r="E149" s="2" t="inlineStr">
        <is>
          <t xml:space="preserve">Shopping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Restaurants &amp; Takeout</t>
        </is>
      </c>
      <c r="E150" s="2" t="inlineStr">
        <is>
          <t xml:space="preserve">Food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Groceries</t>
        </is>
      </c>
      <c r="E151" s="2" t="inlineStr">
        <is>
          <t xml:space="preserve">Food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Restaurants &amp; Takeout</t>
        </is>
      </c>
      <c r="E153" s="2" t="inlineStr">
        <is>
          <t xml:space="preserve">Food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Shopping &amp; Household</t>
        </is>
      </c>
      <c r="E156" s="2" t="inlineStr">
        <is>
          <t xml:space="preserve">Shopping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Restaurants &amp; Takeout</t>
        </is>
      </c>
      <c r="E159" s="2" t="inlineStr">
        <is>
          <t xml:space="preserve">Food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Groceries</t>
        </is>
      </c>
      <c r="E162" s="2" t="inlineStr">
        <is>
          <t xml:space="preserve">Food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Groceries</t>
        </is>
      </c>
      <c r="E166" s="2" t="inlineStr">
        <is>
          <t xml:space="preserve">Food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TV</t>
        </is>
      </c>
      <c r="E167" s="2" t="inlineStr">
        <is>
          <t xml:space="preserve">Subscriptions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– American Express</t>
        </is>
      </c>
      <c r="E172" s="2" t="inlineStr">
        <is>
          <t xml:space="preserve">Debt Payments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Autobooks – NextGen (910-931-1027)</t>
        </is>
      </c>
      <c r="E173" s="2" t="inlineStr">
        <is>
          <t xml:space="preserve">Other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Shopping &amp; Household</t>
        </is>
      </c>
      <c r="E174" s="2" t="inlineStr">
        <is>
          <t xml:space="preserve">Shopping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Groceries</t>
        </is>
      </c>
      <c r="E175" s="2" t="inlineStr">
        <is>
          <t xml:space="preserve">Food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Health Premium – WTW / Via Benefits</t>
        </is>
      </c>
      <c r="E176" s="2" t="inlineStr">
        <is>
          <t xml:space="preserve">Insurance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Groceries</t>
        </is>
      </c>
      <c r="E179" s="2" t="inlineStr">
        <is>
          <t xml:space="preserve">Food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Groceries</t>
        </is>
      </c>
      <c r="E180" s="2" t="inlineStr">
        <is>
          <t xml:space="preserve">Food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Shopping &amp; Household</t>
        </is>
      </c>
      <c r="E183" s="2" t="inlineStr">
        <is>
          <t xml:space="preserve">Shopping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Medical &amp;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Groceries</t>
        </is>
      </c>
      <c r="E186" s="2" t="inlineStr">
        <is>
          <t xml:space="preserve">Food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Credit Card – Belk (Synchrony)</t>
        </is>
      </c>
      <c r="E187" s="2" t="inlineStr">
        <is>
          <t xml:space="preserve">Debt Payments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TV</t>
        </is>
      </c>
      <c r="E193" s="2" t="inlineStr">
        <is>
          <t xml:space="preserve">Subscriptions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Groceries</t>
        </is>
      </c>
      <c r="E194" s="2" t="inlineStr">
        <is>
          <t xml:space="preserve">Food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Debt Payments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(Cleaning, Pest, Lawn)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Groceries</t>
        </is>
      </c>
      <c r="E206" s="2" t="inlineStr">
        <is>
          <t xml:space="preserve">Food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Groceries</t>
        </is>
      </c>
      <c r="E208" s="2" t="inlineStr">
        <is>
          <t xml:space="preserve">Food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Credit Card – Belk (Synchrony)</t>
        </is>
      </c>
      <c r="E209" s="2" t="inlineStr">
        <is>
          <t xml:space="preserve">Debt Payments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– American Express</t>
        </is>
      </c>
      <c r="E213" s="2" t="inlineStr">
        <is>
          <t xml:space="preserve">Debt Payments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Groceries</t>
        </is>
      </c>
      <c r="E216" s="2" t="inlineStr">
        <is>
          <t xml:space="preserve">Food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Groceries</t>
        </is>
      </c>
      <c r="E218" s="2" t="inlineStr">
        <is>
          <t xml:space="preserve">Food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Groceries</t>
        </is>
      </c>
      <c r="E220" s="2" t="inlineStr">
        <is>
          <t xml:space="preserve">Food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Groceries</t>
        </is>
      </c>
      <c r="E226" s="2" t="inlineStr">
        <is>
          <t xml:space="preserve">Food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Medical &amp;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Groceries</t>
        </is>
      </c>
      <c r="E234" s="2" t="inlineStr">
        <is>
          <t xml:space="preserve">Food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Utilities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TV</t>
        </is>
      </c>
      <c r="E236" s="2" t="inlineStr">
        <is>
          <t xml:space="preserve">Subscriptions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Travel (Lyft, Hotel, Rental)</t>
        </is>
      </c>
      <c r="E238" s="2" t="inlineStr">
        <is>
          <t xml:space="preserve">Travel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TV</t>
        </is>
      </c>
      <c r="E240" s="2" t="inlineStr">
        <is>
          <t xml:space="preserve">Subscriptions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Home Services (Cleaning, Pest, Lawn)</t>
        </is>
      </c>
      <c r="E243" s="2" t="inlineStr">
        <is>
          <t xml:space="preserve">Home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Shopping &amp; Household</t>
        </is>
      </c>
      <c r="E244" s="2" t="inlineStr">
        <is>
          <t xml:space="preserve">Shopping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TV</t>
        </is>
      </c>
      <c r="E252" s="2" t="inlineStr">
        <is>
          <t xml:space="preserve">Subscriptions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Groceries</t>
        </is>
      </c>
      <c r="E253" s="2" t="inlineStr">
        <is>
          <t xml:space="preserve">Food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– American Express</t>
        </is>
      </c>
      <c r="E254" s="2" t="inlineStr">
        <is>
          <t xml:space="preserve">Debt Payments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Personal Care (Hair, Beauty)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Utility – Internet (Focus Broadband)</t>
        </is>
      </c>
      <c r="E257" s="2" t="inlineStr">
        <is>
          <t xml:space="preserve">Utilities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&amp; Pharmacy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Autobooks – NextGen (910-931-1027)</t>
        </is>
      </c>
      <c r="E261" s="2" t="inlineStr">
        <is>
          <t xml:space="preserve">Other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(Cleaning, Pest, Lawn)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TV</t>
        </is>
      </c>
      <c r="E263" s="2" t="inlineStr">
        <is>
          <t xml:space="preserve">Subscriptions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Groceries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TV</t>
        </is>
      </c>
      <c r="E266" s="2" t="inlineStr">
        <is>
          <t xml:space="preserve">Subscriptions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Medical &amp;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Shopping &amp; Household</t>
        </is>
      </c>
      <c r="E278" s="2" t="inlineStr">
        <is>
          <t xml:space="preserve">Shopping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Groceries</t>
        </is>
      </c>
      <c r="E284" s="2" t="inlineStr">
        <is>
          <t xml:space="preserve">Food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Groceries</t>
        </is>
      </c>
      <c r="E288" s="2" t="inlineStr">
        <is>
          <t xml:space="preserve">Food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Shopping &amp; Household</t>
        </is>
      </c>
      <c r="E289" s="2" t="inlineStr">
        <is>
          <t xml:space="preserve">Shopping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Shopping &amp; Household</t>
        </is>
      </c>
      <c r="E290" s="2" t="inlineStr">
        <is>
          <t xml:space="preserve">Shopping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Groceries</t>
        </is>
      </c>
      <c r="E291" s="2" t="inlineStr">
        <is>
          <t xml:space="preserve">Food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Autobooks – NextGen (910-931-1027)</t>
        </is>
      </c>
      <c r="E293" s="2" t="inlineStr">
        <is>
          <t xml:space="preserve">Other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TV</t>
        </is>
      </c>
      <c r="E294" s="2" t="inlineStr">
        <is>
          <t xml:space="preserve">Subscriptions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Groceries</t>
        </is>
      </c>
      <c r="E295" s="2" t="inlineStr">
        <is>
          <t xml:space="preserve">Food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Home Services (Cleaning, Pest, Lawn)</t>
        </is>
      </c>
      <c r="E296" s="2" t="inlineStr">
        <is>
          <t xml:space="preserve">Home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Other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Medical &amp;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Groceries</t>
        </is>
      </c>
      <c r="E299" s="2" t="inlineStr">
        <is>
          <t xml:space="preserve">Food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Health Premium – WTW / Via Benefits</t>
        </is>
      </c>
      <c r="E301" s="2" t="inlineStr">
        <is>
          <t xml:space="preserve">Insurance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Home Improvement (Lowe's)</t>
        </is>
      </c>
      <c r="E303" s="2" t="inlineStr">
        <is>
          <t xml:space="preserve">Home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Utility – Internet (Focus Broadband)</t>
        </is>
      </c>
      <c r="E304" s="2" t="inlineStr">
        <is>
          <t xml:space="preserve">Utilities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Shopping &amp; Household</t>
        </is>
      </c>
      <c r="E308" s="2" t="inlineStr">
        <is>
          <t xml:space="preserve">Shopping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Groceries</t>
        </is>
      </c>
      <c r="E311" s="2" t="inlineStr">
        <is>
          <t xml:space="preserve">Food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Other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TV</t>
        </is>
      </c>
      <c r="E316" s="2" t="inlineStr">
        <is>
          <t xml:space="preserve">Subscriptions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&amp; Pharmacy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Shopping &amp; Household</t>
        </is>
      </c>
      <c r="E318" s="2" t="inlineStr">
        <is>
          <t xml:space="preserve">Shopping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Shopping &amp; Household</t>
        </is>
      </c>
      <c r="E319" s="2" t="inlineStr">
        <is>
          <t xml:space="preserve">Shopping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Debt Payments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Groceries</t>
        </is>
      </c>
      <c r="E324" s="2" t="inlineStr">
        <is>
          <t xml:space="preserve">Food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Shopping &amp; Household</t>
        </is>
      </c>
      <c r="E326" s="2" t="inlineStr">
        <is>
          <t xml:space="preserve">Shopping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Groceries</t>
        </is>
      </c>
      <c r="E328" s="2" t="inlineStr">
        <is>
          <t xml:space="preserve">Food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Autobooks – NextGen (910-931-1027)</t>
        </is>
      </c>
      <c r="E332" s="2" t="inlineStr">
        <is>
          <t xml:space="preserve">Other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Shopping &amp; Household</t>
        </is>
      </c>
      <c r="E333" s="2" t="inlineStr">
        <is>
          <t xml:space="preserve">Shopping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Groceries</t>
        </is>
      </c>
      <c r="E334" s="2" t="inlineStr">
        <is>
          <t xml:space="preserve">Food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Other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Medical &amp;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– American Express</t>
        </is>
      </c>
      <c r="E338" s="2" t="inlineStr">
        <is>
          <t xml:space="preserve">Debt Payments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Personal Care (Hair, Beauty)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Shopping &amp; Household</t>
        </is>
      </c>
      <c r="E341" s="2" t="inlineStr">
        <is>
          <t xml:space="preserve">Shopping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Groceries</t>
        </is>
      </c>
      <c r="E345" s="2" t="inlineStr">
        <is>
          <t xml:space="preserve">Food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Groceries</t>
        </is>
      </c>
      <c r="E346" s="2" t="inlineStr">
        <is>
          <t xml:space="preserve">Food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Utilities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Shopping &amp; Household</t>
        </is>
      </c>
      <c r="E349" s="2" t="inlineStr">
        <is>
          <t xml:space="preserve">Shopping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Groceries</t>
        </is>
      </c>
      <c r="E350" s="2" t="inlineStr">
        <is>
          <t xml:space="preserve">Food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Restaurants &amp; Takeout</t>
        </is>
      </c>
      <c r="E353" s="2" t="inlineStr">
        <is>
          <t xml:space="preserve">Food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&amp; Pharmacy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TV</t>
        </is>
      </c>
      <c r="E357" s="2" t="inlineStr">
        <is>
          <t xml:space="preserve">Subscriptions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TV</t>
        </is>
      </c>
      <c r="E358" s="2" t="inlineStr">
        <is>
          <t xml:space="preserve">Subscriptions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Shopping &amp; Household</t>
        </is>
      </c>
      <c r="E359" s="2" t="inlineStr">
        <is>
          <t xml:space="preserve">Shopping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Groceries</t>
        </is>
      </c>
      <c r="E361" s="2" t="inlineStr">
        <is>
          <t xml:space="preserve">Food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Groceries</t>
        </is>
      </c>
      <c r="E364" s="2" t="inlineStr">
        <is>
          <t xml:space="preserve">Food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Autobooks – NextGen (910-931-1027)</t>
        </is>
      </c>
      <c r="E365" s="2" t="inlineStr">
        <is>
          <t xml:space="preserve">Other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Groceries</t>
        </is>
      </c>
      <c r="E366" s="2" t="inlineStr">
        <is>
          <t xml:space="preserve">Food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Groceries</t>
        </is>
      </c>
      <c r="E367" s="2" t="inlineStr">
        <is>
          <t xml:space="preserve">Food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(Hair, Beauty)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Groceries</t>
        </is>
      </c>
      <c r="E375" s="2" t="inlineStr">
        <is>
          <t xml:space="preserve">Food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Personal Care (Hair, Beauty)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TV</t>
        </is>
      </c>
      <c r="E378" s="2" t="inlineStr">
        <is>
          <t xml:space="preserve">Subscriptions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Shopping &amp; Household</t>
        </is>
      </c>
      <c r="E379" s="2" t="inlineStr">
        <is>
          <t xml:space="preserve">Shopping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Shopping &amp; Household</t>
        </is>
      </c>
      <c r="E380" s="2" t="inlineStr">
        <is>
          <t xml:space="preserve">Shopping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Groceries</t>
        </is>
      </c>
      <c r="E382" s="2" t="inlineStr">
        <is>
          <t xml:space="preserve">Food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Groceries</t>
        </is>
      </c>
      <c r="E387" s="2" t="inlineStr">
        <is>
          <t xml:space="preserve">Food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Health Premium – WTW / Via Benefits</t>
        </is>
      </c>
      <c r="E388" s="2" t="inlineStr">
        <is>
          <t xml:space="preserve">Insurance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&amp; Pharmacy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Utility – Internet (Focus Broadband)</t>
        </is>
      </c>
      <c r="E393" s="2" t="inlineStr">
        <is>
          <t xml:space="preserve">Utilities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Home Improvement (Lowe's)</t>
        </is>
      </c>
      <c r="E394" s="2" t="inlineStr">
        <is>
          <t xml:space="preserve">Home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TV</t>
        </is>
      </c>
      <c r="E398" s="2" t="inlineStr">
        <is>
          <t xml:space="preserve">Subscriptions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TV</t>
        </is>
      </c>
      <c r="E399" s="2" t="inlineStr">
        <is>
          <t xml:space="preserve">Subscriptions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Groceries</t>
        </is>
      </c>
      <c r="E402" s="2" t="inlineStr">
        <is>
          <t xml:space="preserve">Food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Debt Payments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Restaurants &amp; Takeout</t>
        </is>
      </c>
      <c r="E404" s="2" t="inlineStr">
        <is>
          <t xml:space="preserve">Food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Autobooks – NextGen (910-931-1027)</t>
        </is>
      </c>
      <c r="E405" s="2" t="inlineStr">
        <is>
          <t xml:space="preserve">Other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Tolls &amp; Parking</t>
        </is>
      </c>
      <c r="E406" s="2" t="inlineStr">
        <is>
          <t xml:space="preserve">Transportation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Shopping &amp; Household</t>
        </is>
      </c>
      <c r="E410" s="2" t="inlineStr">
        <is>
          <t xml:space="preserve">Shopping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Shopping &amp; Household</t>
        </is>
      </c>
      <c r="E411" s="2" t="inlineStr">
        <is>
          <t xml:space="preserve">Shopping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Shopping &amp; Household</t>
        </is>
      </c>
      <c r="E416" s="2" t="inlineStr">
        <is>
          <t xml:space="preserve">Shopping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Groceries</t>
        </is>
      </c>
      <c r="E424" s="2" t="inlineStr">
        <is>
          <t xml:space="preserve">Food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Utilities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– American Express</t>
        </is>
      </c>
      <c r="E427" s="2" t="inlineStr">
        <is>
          <t xml:space="preserve">Debt Payments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Shopping &amp; Household</t>
        </is>
      </c>
      <c r="E428" s="2" t="inlineStr">
        <is>
          <t xml:space="preserve">Shopping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Groceries</t>
        </is>
      </c>
      <c r="E433" s="2" t="inlineStr">
        <is>
          <t xml:space="preserve">Food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Total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