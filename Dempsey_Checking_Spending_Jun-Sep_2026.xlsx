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nthly Summary" sheetId="1" r:id="rId1"/>
    <sheet name="August Differences" sheetId="2" r:id="rId2"/>
    <sheet name="Not Counted as Spending" sheetId="3" r:id="rId3"/>
    <sheet name="June 2026" sheetId="4" r:id="rId4"/>
    <sheet name="July 2026" sheetId="5" r:id="rId5"/>
    <sheet name="August 2026" sheetId="6" r:id="rId6"/>
    <sheet name="September 2026" sheetId="7" r:id="rId7"/>
    <sheet name="All Transactions" sheetId="8" r:id="rId8"/>
  </sheets>
  <definedNames>
    <definedName name="_xlnm._FilterDatabase" localSheetId="3" hidden="1">'June 2026'!$A$3:$E$119</definedName>
    <definedName name="_xlnm._FilterDatabase" localSheetId="4" hidden="1">'July 2026'!$A$3:$E$127</definedName>
    <definedName name="_xlnm._FilterDatabase" localSheetId="5" hidden="1">'August 2026'!$A$3:$E$110</definedName>
    <definedName name="_xlnm._FilterDatabase" localSheetId="6" hidden="1">'September 2026'!$A$3:$E$88</definedName>
    <definedName name="_xlnm._FilterDatabase" localSheetId="7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Student Loan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Student Loan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909.94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839.3</v>
      </c>
      <c r="F42" s="3">
        <f>SUM(B42:E42)</f>
        <v>3731.31</v>
      </c>
      <c r="G42" s="3">
        <f>F42/4</f>
        <v>932.8275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909.94</v>
      </c>
      <c r="D43" s="6">
        <f>SUM(D41:D42)</f>
        <v>968.47</v>
      </c>
      <c r="E43" s="6">
        <f>SUM(E41:E42)</f>
        <v>839.3</v>
      </c>
      <c r="F43" s="6">
        <f>SUM(F41:F42)</f>
        <v>4000.51</v>
      </c>
      <c r="G43" s="6">
        <f>F43/4</f>
        <v>1000.1275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68.24</v>
      </c>
      <c r="F47" s="3">
        <f>SUM(B47:E47)</f>
        <v>92.52</v>
      </c>
      <c r="G47" s="3">
        <f>F47/4</f>
        <v>23.13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307.22</v>
      </c>
      <c r="F48" s="6">
        <f>SUM(F46:F47)</f>
        <v>885.51</v>
      </c>
      <c r="G48" s="6">
        <f>F48/4</f>
        <v>221.3775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CVS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383.24</v>
      </c>
      <c r="E66" s="3">
        <f>SUMIFS('All Transactions'!$F$5:$F$436,'All Transactions'!$D$5:$D$436,$A66,'All Transactions'!$A$5:$A$436,E$4)</f>
        <v>0</v>
      </c>
      <c r="F66" s="3">
        <f>SUM(B66:E66)</f>
        <v>644.24</v>
      </c>
      <c r="G66" s="3">
        <f>F66/4</f>
        <v>161.06</v>
      </c>
    </row>
    <row r="67">
      <c r="A67" s="12" t="inlineStr">
        <is>
          <t xml:space="preserve">Medical – Dosher Hospital (Southport)</t>
        </is>
      </c>
      <c r="B67" s="3">
        <f>SUMIFS('All Transactions'!$F$5:$F$436,'All Transactions'!$D$5:$D$436,$A67,'All Transactions'!$A$5:$A$436,B$4)</f>
        <v>0</v>
      </c>
      <c r="C67" s="3">
        <f>SUMIFS('All Transactions'!$F$5:$F$436,'All Transactions'!$D$5:$D$436,$A67,'All Transactions'!$A$5:$A$436,C$4)</f>
        <v>0</v>
      </c>
      <c r="D67" s="3">
        <f>SUMIFS('All Transactions'!$F$5:$F$436,'All Transactions'!$D$5:$D$436,$A67,'All Transactions'!$A$5:$A$436,D$4)</f>
        <v>467.66</v>
      </c>
      <c r="E67" s="3">
        <f>SUMIFS('All Transactions'!$F$5:$F$436,'All Transactions'!$D$5:$D$436,$A67,'All Transactions'!$A$5:$A$436,E$4)</f>
        <v>100.28</v>
      </c>
      <c r="F67" s="3">
        <f>SUM(B67:E67)</f>
        <v>567.94</v>
      </c>
      <c r="G67" s="3">
        <f>F67/4</f>
        <v>141.985</v>
      </c>
    </row>
    <row r="68">
      <c r="A68" s="12" t="inlineStr">
        <is>
          <t xml:space="preserve">Medical – Wilmington Eye</t>
        </is>
      </c>
      <c r="B68" s="3">
        <f>SUMIFS('All Transactions'!$F$5:$F$436,'All Transactions'!$D$5:$D$436,$A68,'All Transactions'!$A$5:$A$436,B$4)</f>
        <v>0</v>
      </c>
      <c r="C68" s="3">
        <f>SUMIFS('All Transactions'!$F$5:$F$436,'All Transactions'!$D$5:$D$436,$A68,'All Transactions'!$A$5:$A$436,C$4)</f>
        <v>0</v>
      </c>
      <c r="D68" s="3">
        <f>SUMIFS('All Transactions'!$F$5:$F$436,'All Transactions'!$D$5:$D$436,$A68,'All Transactions'!$A$5:$A$436,D$4)</f>
        <v>0</v>
      </c>
      <c r="E68" s="3">
        <f>SUMIFS('All Transactions'!$F$5:$F$436,'All Transactions'!$D$5:$D$436,$A68,'All Transactions'!$A$5:$A$436,E$4)</f>
        <v>60.0</v>
      </c>
      <c r="F68" s="3">
        <f>SUM(B68:E68)</f>
        <v>60.0</v>
      </c>
      <c r="G68" s="3">
        <f>F68/4</f>
        <v>15.0</v>
      </c>
    </row>
    <row r="69">
      <c r="A69" s="12" t="inlineStr">
        <is>
          <t xml:space="preserve">Medical – Granville Medical Center (Oxford)</t>
        </is>
      </c>
      <c r="B69" s="3">
        <f>SUMIFS('All Transactions'!$F$5:$F$436,'All Transactions'!$D$5:$D$436,$A69,'All Transactions'!$A$5:$A$436,B$4)</f>
        <v>0</v>
      </c>
      <c r="C69" s="3">
        <f>SUMIFS('All Transactions'!$F$5:$F$436,'All Transactions'!$D$5:$D$436,$A69,'All Transactions'!$A$5:$A$436,C$4)</f>
        <v>25.16</v>
      </c>
      <c r="D69" s="3">
        <f>SUMIFS('All Transactions'!$F$5:$F$436,'All Transactions'!$D$5:$D$436,$A69,'All Transactions'!$A$5:$A$436,D$4)</f>
        <v>0</v>
      </c>
      <c r="E69" s="3">
        <f>SUMIFS('All Transactions'!$F$5:$F$436,'All Transactions'!$D$5:$D$436,$A69,'All Transactions'!$A$5:$A$436,E$4)</f>
        <v>0</v>
      </c>
      <c r="F69" s="3">
        <f>SUM(B69:E69)</f>
        <v>25.16</v>
      </c>
      <c r="G69" s="3">
        <f>F69/4</f>
        <v>6.29</v>
      </c>
    </row>
    <row r="70">
      <c r="A70" s="12" t="inlineStr">
        <is>
          <t xml:space="preserve">Medical – Duke Hospital (Durham, food &amp; parking)</t>
        </is>
      </c>
      <c r="B70" s="3">
        <f>SUMIFS('All Transactions'!$F$5:$F$436,'All Transactions'!$D$5:$D$436,$A70,'All Transactions'!$A$5:$A$436,B$4)</f>
        <v>0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0</v>
      </c>
      <c r="E70" s="3">
        <f>SUMIFS('All Transactions'!$F$5:$F$436,'All Transactions'!$D$5:$D$436,$A70,'All Transactions'!$A$5:$A$436,E$4)</f>
        <v>14.75</v>
      </c>
      <c r="F70" s="3">
        <f>SUM(B70:E70)</f>
        <v>14.75</v>
      </c>
      <c r="G70" s="3">
        <f>F70/4</f>
        <v>3.6875</v>
      </c>
    </row>
    <row r="71">
      <c r="A71" s="7" t="inlineStr">
        <is>
          <t xml:space="preserve">Total Health</t>
        </is>
      </c>
      <c r="B71" s="6">
        <f>SUM(B66:B70)</f>
        <v>160.07</v>
      </c>
      <c r="C71" s="6">
        <f>SUM(C66:C70)</f>
        <v>126.09</v>
      </c>
      <c r="D71" s="6">
        <f>SUM(D66:D70)</f>
        <v>850.9</v>
      </c>
      <c r="E71" s="6">
        <f>SUM(E66:E70)</f>
        <v>175.03</v>
      </c>
      <c r="F71" s="6">
        <f>SUM(F66:F70)</f>
        <v>1312.09</v>
      </c>
      <c r="G71" s="6">
        <f>F71/4</f>
        <v>328.0225</v>
      </c>
    </row>
    <row r="73">
      <c r="A73" s="5" t="inlineStr">
        <is>
          <t xml:space="preserve">Personal</t>
        </is>
      </c>
    </row>
    <row r="74">
      <c r="A74" s="12" t="inlineStr">
        <is>
          <t xml:space="preserve">Haircuts – The Color Bar</t>
        </is>
      </c>
      <c r="B74" s="3">
        <f>SUMIFS('All Transactions'!$F$5:$F$436,'All Transactions'!$D$5:$D$436,$A74,'All Transactions'!$A$5:$A$436,B$4)</f>
        <v>182.5</v>
      </c>
      <c r="C74" s="3">
        <f>SUMIFS('All Transactions'!$F$5:$F$436,'All Transactions'!$D$5:$D$436,$A74,'All Transactions'!$A$5:$A$436,C$4)</f>
        <v>0</v>
      </c>
      <c r="D74" s="3">
        <f>SUMIFS('All Transactions'!$F$5:$F$436,'All Transactions'!$D$5:$D$436,$A74,'All Transactions'!$A$5:$A$436,D$4)</f>
        <v>182.5</v>
      </c>
      <c r="E74" s="3">
        <f>SUMIFS('All Transactions'!$F$5:$F$436,'All Transactions'!$D$5:$D$436,$A74,'All Transactions'!$A$5:$A$436,E$4)</f>
        <v>32.5</v>
      </c>
      <c r="F74" s="3">
        <f>SUM(B74:E74)</f>
        <v>397.5</v>
      </c>
      <c r="G74" s="3">
        <f>F74/4</f>
        <v>99.375</v>
      </c>
    </row>
    <row r="75">
      <c r="A75" s="12" t="inlineStr">
        <is>
          <t xml:space="preserve">Personal Care – Simple Beauty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0</v>
      </c>
      <c r="D75" s="3">
        <f>SUMIFS('All Transactions'!$F$5:$F$436,'All Transactions'!$D$5:$D$436,$A75,'All Transactions'!$A$5:$A$436,D$4)</f>
        <v>0</v>
      </c>
      <c r="E75" s="3">
        <f>SUMIFS('All Transactions'!$F$5:$F$436,'All Transactions'!$D$5:$D$436,$A75,'All Transactions'!$A$5:$A$436,E$4)</f>
        <v>82.0</v>
      </c>
      <c r="F75" s="3">
        <f>SUM(B75:E75)</f>
        <v>82.0</v>
      </c>
      <c r="G75" s="3">
        <f>F75/4</f>
        <v>20.5</v>
      </c>
    </row>
    <row r="76">
      <c r="A76" s="7" t="inlineStr">
        <is>
          <t xml:space="preserve">Total Personal</t>
        </is>
      </c>
      <c r="B76" s="6">
        <f>SUM(B74:B75)</f>
        <v>182.5</v>
      </c>
      <c r="C76" s="6">
        <f>SUM(C74:C75)</f>
        <v>0</v>
      </c>
      <c r="D76" s="6">
        <f>SUM(D74:D75)</f>
        <v>182.5</v>
      </c>
      <c r="E76" s="6">
        <f>SUM(E74:E75)</f>
        <v>114.5</v>
      </c>
      <c r="F76" s="6">
        <f>SUM(F74:F75)</f>
        <v>479.5</v>
      </c>
      <c r="G76" s="6">
        <f>F76/4</f>
        <v>119.875</v>
      </c>
    </row>
    <row r="78">
      <c r="A78" s="5" t="inlineStr">
        <is>
          <t xml:space="preserve">Retail</t>
        </is>
      </c>
    </row>
    <row r="79">
      <c r="A79" s="12" t="inlineStr">
        <is>
          <t xml:space="preserve">Retail – Walmart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132.66</v>
      </c>
      <c r="D79" s="3">
        <f>SUMIFS('All Transactions'!$F$5:$F$436,'All Transactions'!$D$5:$D$436,$A79,'All Transactions'!$A$5:$A$436,D$4)</f>
        <v>1732.6</v>
      </c>
      <c r="E79" s="3">
        <f>SUMIFS('All Transactions'!$F$5:$F$436,'All Transactions'!$D$5:$D$436,$A79,'All Transactions'!$A$5:$A$436,E$4)</f>
        <v>32.63</v>
      </c>
      <c r="F79" s="3">
        <f>SUM(B79:E79)</f>
        <v>1897.89</v>
      </c>
      <c r="G79" s="3">
        <f>F79/4</f>
        <v>474.4725</v>
      </c>
    </row>
    <row r="80">
      <c r="A80" s="12" t="inlineStr">
        <is>
          <t xml:space="preserve">Retail – Belk (store card payments)</t>
        </is>
      </c>
      <c r="B80" s="3">
        <f>SUMIFS('All Transactions'!$F$5:$F$436,'All Transactions'!$D$5:$D$436,$A80,'All Transactions'!$A$5:$A$436,B$4)</f>
        <v>386.69</v>
      </c>
      <c r="C80" s="3">
        <f>SUMIFS('All Transactions'!$F$5:$F$436,'All Transactions'!$D$5:$D$436,$A80,'All Transactions'!$A$5:$A$436,C$4)</f>
        <v>948.04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1334.73</v>
      </c>
      <c r="G80" s="3">
        <f>F80/4</f>
        <v>333.6825</v>
      </c>
    </row>
    <row r="81">
      <c r="A81" s="12" t="inlineStr">
        <is>
          <t xml:space="preserve">Retail – Marshalls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0</v>
      </c>
      <c r="E81" s="3">
        <f>SUMIFS('All Transactions'!$F$5:$F$436,'All Transactions'!$D$5:$D$436,$A81,'All Transactions'!$A$5:$A$436,E$4)</f>
        <v>41.59</v>
      </c>
      <c r="F81" s="3">
        <f>SUM(B81:E81)</f>
        <v>41.59</v>
      </c>
      <c r="G81" s="3">
        <f>F81/4</f>
        <v>10.3975</v>
      </c>
    </row>
    <row r="82">
      <c r="A82" s="12" t="inlineStr">
        <is>
          <t xml:space="preserve">Retail – Ross</t>
        </is>
      </c>
      <c r="B82" s="3">
        <f>SUMIFS('All Transactions'!$F$5:$F$436,'All Transactions'!$D$5:$D$436,$A82,'All Transactions'!$A$5:$A$436,B$4)</f>
        <v>48.03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0</v>
      </c>
      <c r="E82" s="3">
        <f>SUMIFS('All Transactions'!$F$5:$F$436,'All Transactions'!$D$5:$D$436,$A82,'All Transactions'!$A$5:$A$436,E$4)</f>
        <v>16.32</v>
      </c>
      <c r="F82" s="3">
        <f>SUM(B82:E82)</f>
        <v>64.35</v>
      </c>
      <c r="G82" s="3">
        <f>F82/4</f>
        <v>16.0875</v>
      </c>
    </row>
    <row r="83">
      <c r="A83" s="12" t="inlineStr">
        <is>
          <t xml:space="preserve">Retail – Dillard's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174.74</v>
      </c>
      <c r="E83" s="3">
        <f>SUMIFS('All Transactions'!$F$5:$F$436,'All Transactions'!$D$5:$D$436,$A83,'All Transactions'!$A$5:$A$436,E$4)</f>
        <v>0</v>
      </c>
      <c r="F83" s="3">
        <f>SUM(B83:E83)</f>
        <v>174.74</v>
      </c>
      <c r="G83" s="3">
        <f>F83/4</f>
        <v>43.685</v>
      </c>
    </row>
    <row r="84">
      <c r="A84" s="12" t="inlineStr">
        <is>
          <t xml:space="preserve">Retail – Target</t>
        </is>
      </c>
      <c r="B84" s="3">
        <f>SUMIFS('All Transactions'!$F$5:$F$436,'All Transactions'!$D$5:$D$436,$A84,'All Transactions'!$A$5:$A$436,B$4)</f>
        <v>58.98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0</v>
      </c>
      <c r="F84" s="3">
        <f>SUM(B84:E84)</f>
        <v>58.98</v>
      </c>
      <c r="G84" s="3">
        <f>F84/4</f>
        <v>14.745</v>
      </c>
    </row>
    <row r="85">
      <c r="A85" s="12" t="inlineStr">
        <is>
          <t xml:space="preserve">Retail – HomeSense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88.7</v>
      </c>
      <c r="E85" s="3">
        <f>SUMIFS('All Transactions'!$F$5:$F$436,'All Transactions'!$D$5:$D$436,$A85,'All Transactions'!$A$5:$A$436,E$4)</f>
        <v>0</v>
      </c>
      <c r="F85" s="3">
        <f>SUM(B85:E85)</f>
        <v>88.7</v>
      </c>
      <c r="G85" s="3">
        <f>F85/4</f>
        <v>22.175</v>
      </c>
    </row>
    <row r="86">
      <c r="A86" s="12" t="inlineStr">
        <is>
          <t xml:space="preserve">Retail – Hobby Lobby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165.67</v>
      </c>
      <c r="E86" s="3">
        <f>SUMIFS('All Transactions'!$F$5:$F$436,'All Transactions'!$D$5:$D$436,$A86,'All Transactions'!$A$5:$A$436,E$4)</f>
        <v>37.33</v>
      </c>
      <c r="F86" s="3">
        <f>SUM(B86:E86)</f>
        <v>203.0</v>
      </c>
      <c r="G86" s="3">
        <f>F86/4</f>
        <v>50.75</v>
      </c>
    </row>
    <row r="87">
      <c r="A87" s="12" t="inlineStr">
        <is>
          <t xml:space="preserve">Retail – Lowe's (home improvement)</t>
        </is>
      </c>
      <c r="B87" s="3">
        <f>SUMIFS('All Transactions'!$F$5:$F$436,'All Transactions'!$D$5:$D$436,$A87,'All Transactions'!$A$5:$A$436,B$4)</f>
        <v>27.67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171.55</v>
      </c>
      <c r="E87" s="3">
        <f>SUMIFS('All Transactions'!$F$5:$F$436,'All Transactions'!$D$5:$D$436,$A87,'All Transactions'!$A$5:$A$436,E$4)</f>
        <v>85.27</v>
      </c>
      <c r="F87" s="3">
        <f>SUM(B87:E87)</f>
        <v>284.49</v>
      </c>
      <c r="G87" s="3">
        <f>F87/4</f>
        <v>71.1225</v>
      </c>
    </row>
    <row r="88">
      <c r="A88" s="12" t="inlineStr">
        <is>
          <t xml:space="preserve">Retail – Cat on a Whisk</t>
        </is>
      </c>
      <c r="B88" s="3">
        <f>SUMIFS('All Transactions'!$F$5:$F$436,'All Transactions'!$D$5:$D$436,$A88,'All Transactions'!$A$5:$A$436,B$4)</f>
        <v>0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24.51</v>
      </c>
      <c r="F88" s="3">
        <f>SUM(B88:E88)</f>
        <v>24.51</v>
      </c>
      <c r="G88" s="3">
        <f>F88/4</f>
        <v>6.1275</v>
      </c>
    </row>
    <row r="89">
      <c r="A89" s="12" t="inlineStr">
        <is>
          <t xml:space="preserve">Retail – Tractor Supply</t>
        </is>
      </c>
      <c r="B89" s="3">
        <f>SUMIFS('All Transactions'!$F$5:$F$436,'All Transactions'!$D$5:$D$436,$A89,'All Transactions'!$A$5:$A$436,B$4)</f>
        <v>0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29.86</v>
      </c>
      <c r="E89" s="3">
        <f>SUMIFS('All Transactions'!$F$5:$F$436,'All Transactions'!$D$5:$D$436,$A89,'All Transactions'!$A$5:$A$436,E$4)</f>
        <v>0</v>
      </c>
      <c r="F89" s="3">
        <f>SUM(B89:E89)</f>
        <v>29.86</v>
      </c>
      <c r="G89" s="3">
        <f>F89/4</f>
        <v>7.465</v>
      </c>
    </row>
    <row r="90">
      <c r="A90" s="12" t="inlineStr">
        <is>
          <t xml:space="preserve">Retail – Dick's Sporting Goods</t>
        </is>
      </c>
      <c r="B90" s="3">
        <f>SUMIFS('All Transactions'!$F$5:$F$436,'All Transactions'!$D$5:$D$436,$A90,'All Transactions'!$A$5:$A$436,B$4)</f>
        <v>0</v>
      </c>
      <c r="C90" s="3">
        <f>SUMIFS('All Transactions'!$F$5:$F$436,'All Transactions'!$D$5:$D$436,$A90,'All Transactions'!$A$5:$A$436,C$4)</f>
        <v>63.61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0</v>
      </c>
      <c r="F90" s="3">
        <f>SUM(B90:E90)</f>
        <v>63.61</v>
      </c>
      <c r="G90" s="3">
        <f>F90/4</f>
        <v>15.9025</v>
      </c>
    </row>
    <row r="91">
      <c r="A91" s="12" t="inlineStr">
        <is>
          <t xml:space="preserve">Retail – Ulta Beauty</t>
        </is>
      </c>
      <c r="B91" s="3">
        <f>SUMIFS('All Transactions'!$F$5:$F$436,'All Transactions'!$D$5:$D$436,$A91,'All Transactions'!$A$5:$A$436,B$4)</f>
        <v>134.71</v>
      </c>
      <c r="C91" s="3">
        <f>SUMIFS('All Transactions'!$F$5:$F$436,'All Transactions'!$D$5:$D$436,$A91,'All Transactions'!$A$5:$A$436,C$4)</f>
        <v>0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0</v>
      </c>
      <c r="F91" s="3">
        <f>SUM(B91:E91)</f>
        <v>134.71</v>
      </c>
      <c r="G91" s="3">
        <f>F91/4</f>
        <v>33.6775</v>
      </c>
    </row>
    <row r="92">
      <c r="A92" s="12" t="inlineStr">
        <is>
          <t xml:space="preserve">Retail – Bath &amp; Body Works</t>
        </is>
      </c>
      <c r="B92" s="3">
        <f>SUMIFS('All Transactions'!$F$5:$F$436,'All Transactions'!$D$5:$D$436,$A92,'All Transactions'!$A$5:$A$436,B$4)</f>
        <v>51.31</v>
      </c>
      <c r="C92" s="3">
        <f>SUMIFS('All Transactions'!$F$5:$F$436,'All Transactions'!$D$5:$D$436,$A92,'All Transactions'!$A$5:$A$436,C$4)</f>
        <v>0</v>
      </c>
      <c r="D92" s="3">
        <f>SUMIFS('All Transactions'!$F$5:$F$436,'All Transactions'!$D$5:$D$436,$A92,'All Transactions'!$A$5:$A$436,D$4)</f>
        <v>0</v>
      </c>
      <c r="E92" s="3">
        <f>SUMIFS('All Transactions'!$F$5:$F$436,'All Transactions'!$D$5:$D$436,$A92,'All Transactions'!$A$5:$A$436,E$4)</f>
        <v>0</v>
      </c>
      <c r="F92" s="3">
        <f>SUM(B92:E92)</f>
        <v>51.31</v>
      </c>
      <c r="G92" s="3">
        <f>F92/4</f>
        <v>12.8275</v>
      </c>
    </row>
    <row r="93">
      <c r="A93" s="12" t="inlineStr">
        <is>
          <t xml:space="preserve">Retail – Dollar Tree / Dollar General</t>
        </is>
      </c>
      <c r="B93" s="3">
        <f>SUMIFS('All Transactions'!$F$5:$F$436,'All Transactions'!$D$5:$D$436,$A93,'All Transactions'!$A$5:$A$436,B$4)</f>
        <v>0</v>
      </c>
      <c r="C93" s="3">
        <f>SUMIFS('All Transactions'!$F$5:$F$436,'All Transactions'!$D$5:$D$436,$A93,'All Transactions'!$A$5:$A$436,C$4)</f>
        <v>5.87</v>
      </c>
      <c r="D93" s="3">
        <f>SUMIFS('All Transactions'!$F$5:$F$436,'All Transactions'!$D$5:$D$436,$A93,'All Transactions'!$A$5:$A$436,D$4)</f>
        <v>17.35</v>
      </c>
      <c r="E93" s="3">
        <f>SUMIFS('All Transactions'!$F$5:$F$436,'All Transactions'!$D$5:$D$436,$A93,'All Transactions'!$A$5:$A$436,E$4)</f>
        <v>0</v>
      </c>
      <c r="F93" s="3">
        <f>SUM(B93:E93)</f>
        <v>23.22</v>
      </c>
      <c r="G93" s="3">
        <f>F93/4</f>
        <v>5.805</v>
      </c>
    </row>
    <row r="94">
      <c r="A94" s="12" t="inlineStr">
        <is>
          <t xml:space="preserve">Retail – Local shops (Hippie Chick, Southport Spices, Mad River, Coastal Carolina)</t>
        </is>
      </c>
      <c r="B94" s="3">
        <f>SUMIFS('All Transactions'!$F$5:$F$436,'All Transactions'!$D$5:$D$436,$A94,'All Transactions'!$A$5:$A$436,B$4)</f>
        <v>108.03</v>
      </c>
      <c r="C94" s="3">
        <f>SUMIFS('All Transactions'!$F$5:$F$436,'All Transactions'!$D$5:$D$436,$A94,'All Transactions'!$A$5:$A$436,C$4)</f>
        <v>0</v>
      </c>
      <c r="D94" s="3">
        <f>SUMIFS('All Transactions'!$F$5:$F$436,'All Transactions'!$D$5:$D$436,$A94,'All Transactions'!$A$5:$A$436,D$4)</f>
        <v>0</v>
      </c>
      <c r="E94" s="3">
        <f>SUMIFS('All Transactions'!$F$5:$F$436,'All Transactions'!$D$5:$D$436,$A94,'All Transactions'!$A$5:$A$436,E$4)</f>
        <v>119.97</v>
      </c>
      <c r="F94" s="3">
        <f>SUM(B94:E94)</f>
        <v>228.0</v>
      </c>
      <c r="G94" s="3">
        <f>F94/4</f>
        <v>57.0</v>
      </c>
    </row>
    <row r="95">
      <c r="A95" s="7" t="inlineStr">
        <is>
          <t xml:space="preserve">Total Retail</t>
        </is>
      </c>
      <c r="B95" s="6">
        <f>SUM(B79:B94)</f>
        <v>815.42</v>
      </c>
      <c r="C95" s="6">
        <f>SUM(C79:C94)</f>
        <v>1150.18</v>
      </c>
      <c r="D95" s="6">
        <f>SUM(D79:D94)</f>
        <v>2380.47</v>
      </c>
      <c r="E95" s="6">
        <f>SUM(E79:E94)</f>
        <v>357.62</v>
      </c>
      <c r="F95" s="6">
        <f>SUM(F79:F94)</f>
        <v>4703.69</v>
      </c>
      <c r="G95" s="6">
        <f>F95/4</f>
        <v>1175.9225</v>
      </c>
    </row>
    <row r="97">
      <c r="A97" s="5" t="inlineStr">
        <is>
          <t xml:space="preserve">Home</t>
        </is>
      </c>
    </row>
    <row r="98">
      <c r="A98" s="12" t="inlineStr">
        <is>
          <t xml:space="preserve">Yard Company (NextGen)</t>
        </is>
      </c>
      <c r="B98" s="3">
        <f>SUMIFS('All Transactions'!$F$5:$F$436,'All Transactions'!$D$5:$D$436,$A98,'All Transactions'!$A$5:$A$436,B$4)</f>
        <v>60.0</v>
      </c>
      <c r="C98" s="3">
        <f>SUMIFS('All Transactions'!$F$5:$F$436,'All Transactions'!$D$5:$D$436,$A98,'All Transactions'!$A$5:$A$436,C$4)</f>
        <v>100.0</v>
      </c>
      <c r="D98" s="3">
        <f>SUMIFS('All Transactions'!$F$5:$F$436,'All Transactions'!$D$5:$D$436,$A98,'All Transactions'!$A$5:$A$436,D$4)</f>
        <v>220.0</v>
      </c>
      <c r="E98" s="3">
        <f>SUMIFS('All Transactions'!$F$5:$F$436,'All Transactions'!$D$5:$D$436,$A98,'All Transactions'!$A$5:$A$436,E$4)</f>
        <v>120.0</v>
      </c>
      <c r="F98" s="3">
        <f>SUM(B98:E98)</f>
        <v>500.0</v>
      </c>
      <c r="G98" s="3">
        <f>F98/4</f>
        <v>125.0</v>
      </c>
    </row>
    <row r="99">
      <c r="A99" s="12" t="inlineStr">
        <is>
          <t xml:space="preserve">Home Services (Pest Control, Lawn Treatment)</t>
        </is>
      </c>
      <c r="B99" s="3">
        <f>SUMIFS('All Transactions'!$F$5:$F$436,'All Transactions'!$D$5:$D$436,$A99,'All Transactions'!$A$5:$A$436,B$4)</f>
        <v>0</v>
      </c>
      <c r="C99" s="3">
        <f>SUMIFS('All Transactions'!$F$5:$F$436,'All Transactions'!$D$5:$D$436,$A99,'All Transactions'!$A$5:$A$436,C$4)</f>
        <v>142.05</v>
      </c>
      <c r="D99" s="3">
        <f>SUMIFS('All Transactions'!$F$5:$F$436,'All Transactions'!$D$5:$D$436,$A99,'All Transactions'!$A$5:$A$436,D$4)</f>
        <v>104.0</v>
      </c>
      <c r="E99" s="3">
        <f>SUMIFS('All Transactions'!$F$5:$F$436,'All Transactions'!$D$5:$D$436,$A99,'All Transactions'!$A$5:$A$436,E$4)</f>
        <v>0</v>
      </c>
      <c r="F99" s="3">
        <f>SUM(B99:E99)</f>
        <v>246.05</v>
      </c>
      <c r="G99" s="3">
        <f>F99/4</f>
        <v>61.5125</v>
      </c>
    </row>
    <row r="100">
      <c r="A100" s="7" t="inlineStr">
        <is>
          <t xml:space="preserve">Total Home</t>
        </is>
      </c>
      <c r="B100" s="6">
        <f>SUM(B98:B99)</f>
        <v>60.0</v>
      </c>
      <c r="C100" s="6">
        <f>SUM(C98:C99)</f>
        <v>242.05</v>
      </c>
      <c r="D100" s="6">
        <f>SUM(D98:D99)</f>
        <v>324.0</v>
      </c>
      <c r="E100" s="6">
        <f>SUM(E98:E99)</f>
        <v>120.0</v>
      </c>
      <c r="F100" s="6">
        <f>SUM(F98:F99)</f>
        <v>746.05</v>
      </c>
      <c r="G100" s="6">
        <f>F100/4</f>
        <v>186.5125</v>
      </c>
    </row>
    <row r="102">
      <c r="A102" s="5" t="inlineStr">
        <is>
          <t xml:space="preserve">Travel</t>
        </is>
      </c>
    </row>
    <row r="103">
      <c r="A103" s="12" t="inlineStr">
        <is>
          <t xml:space="preserve">Travel (Lyft, Hotel)</t>
        </is>
      </c>
      <c r="B103" s="3">
        <f>SUMIFS('All Transactions'!$F$5:$F$436,'All Transactions'!$D$5:$D$436,$A103,'All Transactions'!$A$5:$A$436,B$4)</f>
        <v>102.65</v>
      </c>
      <c r="C103" s="3">
        <f>SUMIFS('All Transactions'!$F$5:$F$436,'All Transactions'!$D$5:$D$436,$A103,'All Transactions'!$A$5:$A$436,C$4)</f>
        <v>0</v>
      </c>
      <c r="D103" s="3">
        <f>SUMIFS('All Transactions'!$F$5:$F$436,'All Transactions'!$D$5:$D$436,$A103,'All Transactions'!$A$5:$A$436,D$4)</f>
        <v>0</v>
      </c>
      <c r="E103" s="3">
        <f>SUMIFS('All Transactions'!$F$5:$F$436,'All Transactions'!$D$5:$D$436,$A103,'All Transactions'!$A$5:$A$436,E$4)</f>
        <v>0</v>
      </c>
      <c r="F103" s="3">
        <f>SUM(B103:E103)</f>
        <v>102.65</v>
      </c>
      <c r="G103" s="3">
        <f>F103/4</f>
        <v>25.6625</v>
      </c>
    </row>
    <row r="104">
      <c r="A104" s="7" t="inlineStr">
        <is>
          <t xml:space="preserve">Total Travel</t>
        </is>
      </c>
      <c r="B104" s="6">
        <f>SUM(B103:B103)</f>
        <v>102.65</v>
      </c>
      <c r="C104" s="6">
        <f>SUM(C103:C103)</f>
        <v>0</v>
      </c>
      <c r="D104" s="6">
        <f>SUM(D103:D103)</f>
        <v>0</v>
      </c>
      <c r="E104" s="6">
        <f>SUM(E103:E103)</f>
        <v>0</v>
      </c>
      <c r="F104" s="6">
        <f>SUM(F103:F103)</f>
        <v>102.65</v>
      </c>
      <c r="G104" s="6">
        <f>F104/4</f>
        <v>25.6625</v>
      </c>
    </row>
    <row r="106">
      <c r="A106" s="5" t="inlineStr">
        <is>
          <t xml:space="preserve">Recreation</t>
        </is>
      </c>
    </row>
    <row r="107">
      <c r="A107" s="12" t="inlineStr">
        <is>
          <t xml:space="preserve">St. James Marina</t>
        </is>
      </c>
      <c r="B107" s="3">
        <f>SUMIFS('All Transactions'!$F$5:$F$436,'All Transactions'!$D$5:$D$436,$A107,'All Transactions'!$A$5:$A$436,B$4)</f>
        <v>0</v>
      </c>
      <c r="C107" s="3">
        <f>SUMIFS('All Transactions'!$F$5:$F$436,'All Transactions'!$D$5:$D$436,$A107,'All Transactions'!$A$5:$A$436,C$4)</f>
        <v>33.54</v>
      </c>
      <c r="D107" s="3">
        <f>SUMIFS('All Transactions'!$F$5:$F$436,'All Transactions'!$D$5:$D$436,$A107,'All Transactions'!$A$5:$A$436,D$4)</f>
        <v>0</v>
      </c>
      <c r="E107" s="3">
        <f>SUMIFS('All Transactions'!$F$5:$F$436,'All Transactions'!$D$5:$D$436,$A107,'All Transactions'!$A$5:$A$436,E$4)</f>
        <v>0</v>
      </c>
      <c r="F107" s="3">
        <f>SUM(B107:E107)</f>
        <v>33.54</v>
      </c>
      <c r="G107" s="3">
        <f>F107/4</f>
        <v>8.385</v>
      </c>
    </row>
    <row r="108">
      <c r="A108" s="12" t="inlineStr">
        <is>
          <t xml:space="preserve">Entertainment (Surf Cinema)</t>
        </is>
      </c>
      <c r="B108" s="3">
        <f>SUMIFS('All Transactions'!$F$5:$F$436,'All Transactions'!$D$5:$D$436,$A108,'All Transactions'!$A$5:$A$436,B$4)</f>
        <v>0</v>
      </c>
      <c r="C108" s="3">
        <f>SUMIFS('All Transactions'!$F$5:$F$436,'All Transactions'!$D$5:$D$436,$A108,'All Transactions'!$A$5:$A$436,C$4)</f>
        <v>0</v>
      </c>
      <c r="D108" s="3">
        <f>SUMIFS('All Transactions'!$F$5:$F$436,'All Transactions'!$D$5:$D$436,$A108,'All Transactions'!$A$5:$A$436,D$4)</f>
        <v>13.5</v>
      </c>
      <c r="E108" s="3">
        <f>SUMIFS('All Transactions'!$F$5:$F$436,'All Transactions'!$D$5:$D$436,$A108,'All Transactions'!$A$5:$A$436,E$4)</f>
        <v>0</v>
      </c>
      <c r="F108" s="3">
        <f>SUM(B108:E108)</f>
        <v>13.5</v>
      </c>
      <c r="G108" s="3">
        <f>F108/4</f>
        <v>3.375</v>
      </c>
    </row>
    <row r="109">
      <c r="A109" s="7" t="inlineStr">
        <is>
          <t xml:space="preserve">Total Recreation</t>
        </is>
      </c>
      <c r="B109" s="6">
        <f>SUM(B107:B108)</f>
        <v>0</v>
      </c>
      <c r="C109" s="6">
        <f>SUM(C107:C108)</f>
        <v>33.54</v>
      </c>
      <c r="D109" s="6">
        <f>SUM(D107:D108)</f>
        <v>13.5</v>
      </c>
      <c r="E109" s="6">
        <f>SUM(E107:E108)</f>
        <v>0</v>
      </c>
      <c r="F109" s="6">
        <f>SUM(F107:F108)</f>
        <v>47.04</v>
      </c>
      <c r="G109" s="6">
        <f>F109/4</f>
        <v>11.76</v>
      </c>
    </row>
    <row r="111">
      <c r="A111" s="5" t="inlineStr">
        <is>
          <t xml:space="preserve">Transfers</t>
        </is>
      </c>
    </row>
    <row r="112">
      <c r="A112" s="12" t="inlineStr">
        <is>
          <t xml:space="preserve">Transfers to People (Venmo/Zelle)</t>
        </is>
      </c>
      <c r="B112" s="3">
        <f>SUMIFS('All Transactions'!$F$5:$F$436,'All Transactions'!$D$5:$D$436,$A112,'All Transactions'!$A$5:$A$436,B$4)</f>
        <v>75.0</v>
      </c>
      <c r="C112" s="3">
        <f>SUMIFS('All Transactions'!$F$5:$F$436,'All Transactions'!$D$5:$D$436,$A112,'All Transactions'!$A$5:$A$436,C$4)</f>
        <v>764.05</v>
      </c>
      <c r="D112" s="3">
        <f>SUMIFS('All Transactions'!$F$5:$F$436,'All Transactions'!$D$5:$D$436,$A112,'All Transactions'!$A$5:$A$436,D$4)</f>
        <v>331.5</v>
      </c>
      <c r="E112" s="3">
        <f>SUMIFS('All Transactions'!$F$5:$F$436,'All Transactions'!$D$5:$D$436,$A112,'All Transactions'!$A$5:$A$436,E$4)</f>
        <v>130.0</v>
      </c>
      <c r="F112" s="3">
        <f>SUM(B112:E112)</f>
        <v>1300.55</v>
      </c>
      <c r="G112" s="3">
        <f>F112/4</f>
        <v>325.1375</v>
      </c>
    </row>
    <row r="113">
      <c r="A113" s="7" t="inlineStr">
        <is>
          <t xml:space="preserve">Total Transfers</t>
        </is>
      </c>
      <c r="B113" s="6">
        <f>SUM(B112:B112)</f>
        <v>75.0</v>
      </c>
      <c r="C113" s="6">
        <f>SUM(C112:C112)</f>
        <v>764.05</v>
      </c>
      <c r="D113" s="6">
        <f>SUM(D112:D112)</f>
        <v>331.5</v>
      </c>
      <c r="E113" s="6">
        <f>SUM(E112:E112)</f>
        <v>130.0</v>
      </c>
      <c r="F113" s="6">
        <f>SUM(F112:F112)</f>
        <v>1300.55</v>
      </c>
      <c r="G113" s="6">
        <f>F113/4</f>
        <v>325.1375</v>
      </c>
    </row>
    <row r="115">
      <c r="A115" s="5" t="inlineStr">
        <is>
          <t xml:space="preserve">Other</t>
        </is>
      </c>
    </row>
    <row r="116">
      <c r="A116" s="12" t="inlineStr">
        <is>
          <t xml:space="preserve">Donations &amp; Clubs (Kiwanis)</t>
        </is>
      </c>
      <c r="B116" s="3">
        <f>SUMIFS('All Transactions'!$F$5:$F$436,'All Transactions'!$D$5:$D$436,$A116,'All Transactions'!$A$5:$A$436,B$4)</f>
        <v>0</v>
      </c>
      <c r="C116" s="3">
        <f>SUMIFS('All Transactions'!$F$5:$F$436,'All Transactions'!$D$5:$D$436,$A116,'All Transactions'!$A$5:$A$436,C$4)</f>
        <v>0</v>
      </c>
      <c r="D116" s="3">
        <f>SUMIFS('All Transactions'!$F$5:$F$436,'All Transactions'!$D$5:$D$436,$A116,'All Transactions'!$A$5:$A$436,D$4)</f>
        <v>0</v>
      </c>
      <c r="E116" s="3">
        <f>SUMIFS('All Transactions'!$F$5:$F$436,'All Transactions'!$D$5:$D$436,$A116,'All Transactions'!$A$5:$A$436,E$4)</f>
        <v>200.0</v>
      </c>
      <c r="F116" s="3">
        <f>SUM(B116:E116)</f>
        <v>200.0</v>
      </c>
      <c r="G116" s="3">
        <f>F116/4</f>
        <v>50.0</v>
      </c>
    </row>
    <row r="117">
      <c r="A117" s="12" t="inlineStr">
        <is>
          <t xml:space="preserve">Cash (ATM) &amp; Bank Fees</t>
        </is>
      </c>
      <c r="B117" s="3">
        <f>SUMIFS('All Transactions'!$F$5:$F$436,'All Transactions'!$D$5:$D$436,$A117,'All Transactions'!$A$5:$A$436,B$4)</f>
        <v>0</v>
      </c>
      <c r="C117" s="3">
        <f>SUMIFS('All Transactions'!$F$5:$F$436,'All Transactions'!$D$5:$D$436,$A117,'All Transactions'!$A$5:$A$436,C$4)</f>
        <v>0</v>
      </c>
      <c r="D117" s="3">
        <f>SUMIFS('All Transactions'!$F$5:$F$436,'All Transactions'!$D$5:$D$436,$A117,'All Transactions'!$A$5:$A$436,D$4)</f>
        <v>0</v>
      </c>
      <c r="E117" s="3">
        <f>SUMIFS('All Transactions'!$F$5:$F$436,'All Transactions'!$D$5:$D$436,$A117,'All Transactions'!$A$5:$A$436,E$4)</f>
        <v>147.0</v>
      </c>
      <c r="F117" s="3">
        <f>SUM(B117:E117)</f>
        <v>147.0</v>
      </c>
      <c r="G117" s="3">
        <f>F117/4</f>
        <v>36.75</v>
      </c>
    </row>
    <row r="118">
      <c r="A118" s="7" t="inlineStr">
        <is>
          <t xml:space="preserve">Total Other</t>
        </is>
      </c>
      <c r="B118" s="6">
        <f>SUM(B116:B117)</f>
        <v>0</v>
      </c>
      <c r="C118" s="6">
        <f>SUM(C116:C117)</f>
        <v>0</v>
      </c>
      <c r="D118" s="6">
        <f>SUM(D116:D117)</f>
        <v>0</v>
      </c>
      <c r="E118" s="6">
        <f>SUM(E116:E117)</f>
        <v>347.0</v>
      </c>
      <c r="F118" s="6">
        <f>SUM(F116:F117)</f>
        <v>347.0</v>
      </c>
      <c r="G118" s="6">
        <f>F118/4</f>
        <v>86.75</v>
      </c>
    </row>
    <row r="120">
      <c r="A120" s="8" t="inlineStr">
        <is>
          <t xml:space="preserve">TOTAL SPENDING</t>
        </is>
      </c>
      <c r="B120" s="9">
        <f>B10+B18+B23+B28+B32+B38+B43+B48+B59+B63+B71+B76+B95+B100+B104+B109+B113+B118</f>
        <v>12135.81</v>
      </c>
      <c r="C120" s="9">
        <f>C10+C18+C23+C28+C32+C38+C43+C48+C59+C63+C71+C76+C95+C100+C104+C109+C113+C118</f>
        <v>12163.24</v>
      </c>
      <c r="D120" s="9">
        <f>D10+D18+D23+D28+D32+D38+D43+D48+D59+D63+D71+D76+D95+D100+D104+D109+D113+D118</f>
        <v>14654.04</v>
      </c>
      <c r="E120" s="9">
        <f>E10+E18+E23+E28+E32+E38+E43+E48+E59+E63+E71+E76+E95+E100+E104+E109+E113+E118</f>
        <v>11515.63</v>
      </c>
      <c r="F120" s="9">
        <f>F10+F18+F23+F28+F32+F38+F43+F48+F59+F63+F71+F76+F95+F100+F104+F109+F113+F118</f>
        <v>50468.72</v>
      </c>
      <c r="G120" s="9">
        <f>F120/4</f>
        <v>12617.18</v>
      </c>
    </row>
    <row r="123">
      <c r="A123" s="5" t="inlineStr">
        <is>
          <t xml:space="preserve">Category Totals</t>
        </is>
      </c>
    </row>
    <row r="124">
      <c r="A124" s="15" t="inlineStr">
        <is>
          <t xml:space="preserve">Category</t>
        </is>
      </c>
      <c r="B124" s="1" t="inlineStr">
        <is>
          <t xml:space="preserve">June 2026</t>
        </is>
      </c>
      <c r="C124" s="1" t="inlineStr">
        <is>
          <t xml:space="preserve">July 2026</t>
        </is>
      </c>
      <c r="D124" s="1" t="inlineStr">
        <is>
          <t xml:space="preserve">August 2026</t>
        </is>
      </c>
      <c r="E124" s="1" t="inlineStr">
        <is>
          <t xml:space="preserve">September 2026</t>
        </is>
      </c>
      <c r="F124" s="1" t="inlineStr">
        <is>
          <t xml:space="preserve">4-Month Total</t>
        </is>
      </c>
      <c r="G124" s="1" t="inlineStr">
        <is>
          <t xml:space="preserve">Monthly Avg</t>
        </is>
      </c>
    </row>
    <row r="125">
      <c r="A125" s="12" t="inlineStr">
        <is>
          <t xml:space="preserve">Housing</t>
        </is>
      </c>
      <c r="B125" s="3">
        <f>B10</f>
        <v>5695.83</v>
      </c>
      <c r="C125" s="3">
        <f>C10</f>
        <v>5012.66</v>
      </c>
      <c r="D125" s="3">
        <f>D10</f>
        <v>4903.21</v>
      </c>
      <c r="E125" s="3">
        <f>E10</f>
        <v>5178.1</v>
      </c>
      <c r="F125" s="3">
        <f>SUM(B125:E125)</f>
        <v>20789.8</v>
      </c>
      <c r="G125" s="3">
        <f>F125/4</f>
        <v>5197.45</v>
      </c>
    </row>
    <row r="126">
      <c r="A126" s="12" t="inlineStr">
        <is>
          <t xml:space="preserve">Insurance</t>
        </is>
      </c>
      <c r="B126" s="3">
        <f>B18</f>
        <v>1435.3</v>
      </c>
      <c r="C126" s="3">
        <f>C18</f>
        <v>1213.45</v>
      </c>
      <c r="D126" s="3">
        <f>D18</f>
        <v>1760.95</v>
      </c>
      <c r="E126" s="3">
        <f>E18</f>
        <v>1423.45</v>
      </c>
      <c r="F126" s="3">
        <f>SUM(B126:E126)</f>
        <v>5833.15</v>
      </c>
      <c r="G126" s="3">
        <f>F126/4</f>
        <v>1458.2875</v>
      </c>
    </row>
    <row r="127">
      <c r="A127" s="12" t="inlineStr">
        <is>
          <t xml:space="preserve">Utilities</t>
        </is>
      </c>
      <c r="B127" s="3">
        <f>B23</f>
        <v>78.84</v>
      </c>
      <c r="C127" s="3">
        <f>C23</f>
        <v>336.35</v>
      </c>
      <c r="D127" s="3">
        <f>D23</f>
        <v>586.29</v>
      </c>
      <c r="E127" s="3">
        <f>E23</f>
        <v>503.92</v>
      </c>
      <c r="F127" s="3">
        <f>SUM(B127:E127)</f>
        <v>1505.4</v>
      </c>
      <c r="G127" s="3">
        <f>F127/4</f>
        <v>376.35</v>
      </c>
    </row>
    <row r="128">
      <c r="A128" s="12" t="inlineStr">
        <is>
          <t xml:space="preserve">Phone &amp; Internet</t>
        </is>
      </c>
      <c r="B128" s="3">
        <f>B28</f>
        <v>375.36</v>
      </c>
      <c r="C128" s="3">
        <f>C28</f>
        <v>294.8</v>
      </c>
      <c r="D128" s="3">
        <f>D28</f>
        <v>597.6</v>
      </c>
      <c r="E128" s="3">
        <f>E28</f>
        <v>467.64</v>
      </c>
      <c r="F128" s="3">
        <f>SUM(B128:E128)</f>
        <v>1735.4</v>
      </c>
      <c r="G128" s="3">
        <f>F128/4</f>
        <v>433.85</v>
      </c>
    </row>
    <row r="129">
      <c r="A129" s="12" t="inlineStr">
        <is>
          <t xml:space="preserve">Student Loan</t>
        </is>
      </c>
      <c r="B129" s="3">
        <f>B32</f>
        <v>160.37</v>
      </c>
      <c r="C129" s="3">
        <f>C32</f>
        <v>160.37</v>
      </c>
      <c r="D129" s="3">
        <f>D32</f>
        <v>160.37</v>
      </c>
      <c r="E129" s="3">
        <f>E32</f>
        <v>160.37</v>
      </c>
      <c r="F129" s="3">
        <f>SUM(B129:E129)</f>
        <v>641.48</v>
      </c>
      <c r="G129" s="3">
        <f>F129/4</f>
        <v>160.37</v>
      </c>
    </row>
    <row r="130">
      <c r="A130" s="12" t="inlineStr">
        <is>
          <t xml:space="preserve">Groceries</t>
        </is>
      </c>
      <c r="B130" s="3">
        <f>B38</f>
        <v>1266.4</v>
      </c>
      <c r="C130" s="3">
        <f>C38</f>
        <v>1279.24</v>
      </c>
      <c r="D130" s="3">
        <f>D38</f>
        <v>1184.27</v>
      </c>
      <c r="E130" s="3">
        <f>E38</f>
        <v>1202.5</v>
      </c>
      <c r="F130" s="3">
        <f>SUM(B130:E130)</f>
        <v>4932.41</v>
      </c>
      <c r="G130" s="3">
        <f>F130/4</f>
        <v>1233.1025</v>
      </c>
    </row>
    <row r="131">
      <c r="A131" s="12" t="inlineStr">
        <is>
          <t xml:space="preserve">Food</t>
        </is>
      </c>
      <c r="B131" s="3">
        <f>B43</f>
        <v>1282.8</v>
      </c>
      <c r="C131" s="3">
        <f>C43</f>
        <v>909.94</v>
      </c>
      <c r="D131" s="3">
        <f>D43</f>
        <v>968.47</v>
      </c>
      <c r="E131" s="3">
        <f>E43</f>
        <v>839.3</v>
      </c>
      <c r="F131" s="3">
        <f>SUM(B131:E131)</f>
        <v>4000.51</v>
      </c>
      <c r="G131" s="3">
        <f>F131/4</f>
        <v>1000.1275</v>
      </c>
    </row>
    <row r="132">
      <c r="A132" s="12" t="inlineStr">
        <is>
          <t xml:space="preserve">Transportation</t>
        </is>
      </c>
      <c r="B132" s="3">
        <f>B48</f>
        <v>114.74</v>
      </c>
      <c r="C132" s="3">
        <f>C48</f>
        <v>277.87</v>
      </c>
      <c r="D132" s="3">
        <f>D48</f>
        <v>185.68</v>
      </c>
      <c r="E132" s="3">
        <f>E48</f>
        <v>307.22</v>
      </c>
      <c r="F132" s="3">
        <f>SUM(B132:E132)</f>
        <v>885.51</v>
      </c>
      <c r="G132" s="3">
        <f>F132/4</f>
        <v>221.3775</v>
      </c>
    </row>
    <row r="133">
      <c r="A133" s="12" t="inlineStr">
        <is>
          <t xml:space="preserve">Streaming</t>
        </is>
      </c>
      <c r="B133" s="3">
        <f>B59</f>
        <v>188.8</v>
      </c>
      <c r="C133" s="3">
        <f>C59</f>
        <v>201.6</v>
      </c>
      <c r="D133" s="3">
        <f>D59</f>
        <v>158.35</v>
      </c>
      <c r="E133" s="3">
        <f>E59</f>
        <v>188.98</v>
      </c>
      <c r="F133" s="3">
        <f>SUM(B133:E133)</f>
        <v>737.73</v>
      </c>
      <c r="G133" s="3">
        <f>F133/4</f>
        <v>184.4325</v>
      </c>
    </row>
    <row r="134">
      <c r="A134" s="12" t="inlineStr">
        <is>
          <t xml:space="preserve">Subscriptions</t>
        </is>
      </c>
      <c r="B134" s="3">
        <f>B63</f>
        <v>141.73</v>
      </c>
      <c r="C134" s="3">
        <f>C63</f>
        <v>161.05</v>
      </c>
      <c r="D134" s="3">
        <f>D63</f>
        <v>65.98</v>
      </c>
      <c r="E134" s="3">
        <f>E63</f>
        <v>0</v>
      </c>
      <c r="F134" s="3">
        <f>SUM(B134:E134)</f>
        <v>368.76</v>
      </c>
      <c r="G134" s="3">
        <f>F134/4</f>
        <v>92.19</v>
      </c>
    </row>
    <row r="135">
      <c r="A135" s="12" t="inlineStr">
        <is>
          <t xml:space="preserve">Health</t>
        </is>
      </c>
      <c r="B135" s="3">
        <f>B71</f>
        <v>160.07</v>
      </c>
      <c r="C135" s="3">
        <f>C71</f>
        <v>126.09</v>
      </c>
      <c r="D135" s="3">
        <f>D71</f>
        <v>850.9</v>
      </c>
      <c r="E135" s="3">
        <f>E71</f>
        <v>175.03</v>
      </c>
      <c r="F135" s="3">
        <f>SUM(B135:E135)</f>
        <v>1312.09</v>
      </c>
      <c r="G135" s="3">
        <f>F135/4</f>
        <v>328.0225</v>
      </c>
    </row>
    <row r="136">
      <c r="A136" s="12" t="inlineStr">
        <is>
          <t xml:space="preserve">Personal</t>
        </is>
      </c>
      <c r="B136" s="3">
        <f>B76</f>
        <v>182.5</v>
      </c>
      <c r="C136" s="3">
        <f>C76</f>
        <v>0</v>
      </c>
      <c r="D136" s="3">
        <f>D76</f>
        <v>182.5</v>
      </c>
      <c r="E136" s="3">
        <f>E76</f>
        <v>114.5</v>
      </c>
      <c r="F136" s="3">
        <f>SUM(B136:E136)</f>
        <v>479.5</v>
      </c>
      <c r="G136" s="3">
        <f>F136/4</f>
        <v>119.875</v>
      </c>
    </row>
    <row r="137">
      <c r="A137" s="12" t="inlineStr">
        <is>
          <t xml:space="preserve">Retail</t>
        </is>
      </c>
      <c r="B137" s="3">
        <f>B95</f>
        <v>815.42</v>
      </c>
      <c r="C137" s="3">
        <f>C95</f>
        <v>1150.18</v>
      </c>
      <c r="D137" s="3">
        <f>D95</f>
        <v>2380.47</v>
      </c>
      <c r="E137" s="3">
        <f>E95</f>
        <v>357.62</v>
      </c>
      <c r="F137" s="3">
        <f>SUM(B137:E137)</f>
        <v>4703.69</v>
      </c>
      <c r="G137" s="3">
        <f>F137/4</f>
        <v>1175.9225</v>
      </c>
    </row>
    <row r="138">
      <c r="A138" s="12" t="inlineStr">
        <is>
          <t xml:space="preserve">Home</t>
        </is>
      </c>
      <c r="B138" s="3">
        <f>B100</f>
        <v>60.0</v>
      </c>
      <c r="C138" s="3">
        <f>C100</f>
        <v>242.05</v>
      </c>
      <c r="D138" s="3">
        <f>D100</f>
        <v>324.0</v>
      </c>
      <c r="E138" s="3">
        <f>E100</f>
        <v>120.0</v>
      </c>
      <c r="F138" s="3">
        <f>SUM(B138:E138)</f>
        <v>746.05</v>
      </c>
      <c r="G138" s="3">
        <f>F138/4</f>
        <v>186.5125</v>
      </c>
    </row>
    <row r="139">
      <c r="A139" s="12" t="inlineStr">
        <is>
          <t xml:space="preserve">Travel</t>
        </is>
      </c>
      <c r="B139" s="3">
        <f>B104</f>
        <v>102.65</v>
      </c>
      <c r="C139" s="3">
        <f>C104</f>
        <v>0</v>
      </c>
      <c r="D139" s="3">
        <f>D104</f>
        <v>0</v>
      </c>
      <c r="E139" s="3">
        <f>E104</f>
        <v>0</v>
      </c>
      <c r="F139" s="3">
        <f>SUM(B139:E139)</f>
        <v>102.65</v>
      </c>
      <c r="G139" s="3">
        <f>F139/4</f>
        <v>25.6625</v>
      </c>
    </row>
    <row r="140">
      <c r="A140" s="12" t="inlineStr">
        <is>
          <t xml:space="preserve">Recreation</t>
        </is>
      </c>
      <c r="B140" s="3">
        <f>B109</f>
        <v>0</v>
      </c>
      <c r="C140" s="3">
        <f>C109</f>
        <v>33.54</v>
      </c>
      <c r="D140" s="3">
        <f>D109</f>
        <v>13.5</v>
      </c>
      <c r="E140" s="3">
        <f>E109</f>
        <v>0</v>
      </c>
      <c r="F140" s="3">
        <f>SUM(B140:E140)</f>
        <v>47.04</v>
      </c>
      <c r="G140" s="3">
        <f>F140/4</f>
        <v>11.76</v>
      </c>
    </row>
    <row r="141">
      <c r="A141" s="12" t="inlineStr">
        <is>
          <t xml:space="preserve">Transfers</t>
        </is>
      </c>
      <c r="B141" s="3">
        <f>B113</f>
        <v>75.0</v>
      </c>
      <c r="C141" s="3">
        <f>C113</f>
        <v>764.05</v>
      </c>
      <c r="D141" s="3">
        <f>D113</f>
        <v>331.5</v>
      </c>
      <c r="E141" s="3">
        <f>E113</f>
        <v>130.0</v>
      </c>
      <c r="F141" s="3">
        <f>SUM(B141:E141)</f>
        <v>1300.55</v>
      </c>
      <c r="G141" s="3">
        <f>F141/4</f>
        <v>325.1375</v>
      </c>
    </row>
    <row r="142">
      <c r="A142" s="12" t="inlineStr">
        <is>
          <t xml:space="preserve">Other</t>
        </is>
      </c>
      <c r="B142" s="3">
        <f>B118</f>
        <v>0</v>
      </c>
      <c r="C142" s="3">
        <f>C118</f>
        <v>0</v>
      </c>
      <c r="D142" s="3">
        <f>D118</f>
        <v>0</v>
      </c>
      <c r="E142" s="3">
        <f>E118</f>
        <v>347.0</v>
      </c>
      <c r="F142" s="3">
        <f>SUM(B142:E142)</f>
        <v>347.0</v>
      </c>
      <c r="G142" s="3">
        <f>F142/4</f>
        <v>86.75</v>
      </c>
    </row>
    <row r="143">
      <c r="A143" s="8" t="inlineStr">
        <is>
          <t xml:space="preserve">TOTAL SPENDING</t>
        </is>
      </c>
      <c r="B143" s="9">
        <f>SUM(B125:B142)</f>
        <v>12135.81</v>
      </c>
      <c r="C143" s="9">
        <f>SUM(C125:C142)</f>
        <v>12163.24</v>
      </c>
      <c r="D143" s="9">
        <f>SUM(D125:D142)</f>
        <v>14654.04</v>
      </c>
      <c r="E143" s="9">
        <f>SUM(E125:E142)</f>
        <v>11515.63</v>
      </c>
      <c r="F143" s="9">
        <f>SUM(F125:F142)</f>
        <v>50468.72</v>
      </c>
      <c r="G143" s="9">
        <f>F143/4</f>
        <v>12617.18</v>
      </c>
    </row>
    <row r="145">
      <c r="A145" s="5" t="inlineStr">
        <is>
          <t xml:space="preserve">Key Bills at a Glance</t>
        </is>
      </c>
    </row>
    <row r="146">
      <c r="A146" s="15" t="inlineStr">
        <is>
          <t xml:space="preserve">Bill</t>
        </is>
      </c>
      <c r="B146" s="1" t="inlineStr">
        <is>
          <t xml:space="preserve">June 2026</t>
        </is>
      </c>
      <c r="C146" s="1" t="inlineStr">
        <is>
          <t xml:space="preserve">July 2026</t>
        </is>
      </c>
      <c r="D146" s="1" t="inlineStr">
        <is>
          <t xml:space="preserve">August 2026</t>
        </is>
      </c>
      <c r="E146" s="1" t="inlineStr">
        <is>
          <t xml:space="preserve">September 2026</t>
        </is>
      </c>
      <c r="F146" s="1" t="inlineStr">
        <is>
          <t xml:space="preserve">4-Month Total</t>
        </is>
      </c>
      <c r="G146" s="1" t="inlineStr">
        <is>
          <t xml:space="preserve">Monthly Avg</t>
        </is>
      </c>
    </row>
    <row r="147">
      <c r="A147" s="12" t="inlineStr">
        <is>
          <t xml:space="preserve">A&amp;D Mortgage</t>
        </is>
      </c>
      <c r="B147" s="3">
        <f>SUMIFS('All Transactions'!$F$5:$F$436,'All Transactions'!$D$5:$D$436,$A147,'All Transactions'!$A$5:$A$436,B$4)</f>
        <v>3411.1</v>
      </c>
      <c r="C147" s="3">
        <f>SUMIFS('All Transactions'!$F$5:$F$436,'All Transactions'!$D$5:$D$436,$A147,'All Transactions'!$A$5:$A$436,C$4)</f>
        <v>3411.1</v>
      </c>
      <c r="D147" s="3">
        <f>SUMIFS('All Transactions'!$F$5:$F$436,'All Transactions'!$D$5:$D$436,$A147,'All Transactions'!$A$5:$A$436,D$4)</f>
        <v>3411.1</v>
      </c>
      <c r="E147" s="3">
        <f>SUMIFS('All Transactions'!$F$5:$F$436,'All Transactions'!$D$5:$D$436,$A147,'All Transactions'!$A$5:$A$436,E$4)</f>
        <v>3411.1</v>
      </c>
      <c r="F147" s="3">
        <f>SUM(B147:E147)</f>
        <v>13644.4</v>
      </c>
      <c r="G147" s="3">
        <f>F147/4</f>
        <v>3411.1</v>
      </c>
    </row>
    <row r="148">
      <c r="A148" s="12" t="inlineStr">
        <is>
          <t xml:space="preserve">St. James Membership (Club)</t>
        </is>
      </c>
      <c r="B148" s="3">
        <f>SUMIFS('All Transactions'!$F$5:$F$436,'All Transactions'!$D$5:$D$436,$A148,'All Transactions'!$A$5:$A$436,B$4)</f>
        <v>1591.78</v>
      </c>
      <c r="C148" s="3">
        <f>SUMIFS('All Transactions'!$F$5:$F$436,'All Transactions'!$D$5:$D$436,$A148,'All Transactions'!$A$5:$A$436,C$4)</f>
        <v>1601.56</v>
      </c>
      <c r="D148" s="3">
        <f>SUMIFS('All Transactions'!$F$5:$F$436,'All Transactions'!$D$5:$D$436,$A148,'All Transactions'!$A$5:$A$436,D$4)</f>
        <v>1492.11</v>
      </c>
      <c r="E148" s="3">
        <f>SUMIFS('All Transactions'!$F$5:$F$436,'All Transactions'!$D$5:$D$436,$A148,'All Transactions'!$A$5:$A$436,E$4)</f>
        <v>1767.0</v>
      </c>
      <c r="F148" s="3">
        <f>SUM(B148:E148)</f>
        <v>6452.45</v>
      </c>
      <c r="G148" s="3">
        <f>F148/4</f>
        <v>1613.1125</v>
      </c>
    </row>
    <row r="149">
      <c r="A149" s="12" t="inlineStr">
        <is>
          <t xml:space="preserve">St. James Plantation POA Dues</t>
        </is>
      </c>
      <c r="B149" s="3">
        <f>SUMIFS('All Transactions'!$F$5:$F$436,'All Transactions'!$D$5:$D$436,$A149,'All Transactions'!$A$5:$A$436,B$4)</f>
        <v>692.95</v>
      </c>
      <c r="C149" s="3">
        <f>SUMIFS('All Transactions'!$F$5:$F$436,'All Transactions'!$D$5:$D$436,$A149,'All Transactions'!$A$5:$A$436,C$4)</f>
        <v>0</v>
      </c>
      <c r="D149" s="3">
        <f>SUMIFS('All Transactions'!$F$5:$F$436,'All Transactions'!$D$5:$D$436,$A149,'All Transactions'!$A$5:$A$436,D$4)</f>
        <v>0</v>
      </c>
      <c r="E149" s="3">
        <f>SUMIFS('All Transactions'!$F$5:$F$436,'All Transactions'!$D$5:$D$436,$A149,'All Transactions'!$A$5:$A$436,E$4)</f>
        <v>0</v>
      </c>
      <c r="F149" s="3">
        <f>SUM(B149:E149)</f>
        <v>692.95</v>
      </c>
      <c r="G149" s="3">
        <f>F149/4</f>
        <v>173.2375</v>
      </c>
    </row>
    <row r="150">
      <c r="A150" s="12" t="inlineStr">
        <is>
          <t xml:space="preserve">Allstate Insurance</t>
        </is>
      </c>
      <c r="B150" s="3">
        <f>SUMIFS('All Transactions'!$F$5:$F$436,'All Transactions'!$D$5:$D$436,$A150,'All Transactions'!$A$5:$A$436,B$4)</f>
        <v>360.42</v>
      </c>
      <c r="C150" s="3">
        <f>SUMIFS('All Transactions'!$F$5:$F$436,'All Transactions'!$D$5:$D$436,$A150,'All Transactions'!$A$5:$A$436,C$4)</f>
        <v>360.42</v>
      </c>
      <c r="D150" s="3">
        <f>SUMIFS('All Transactions'!$F$5:$F$436,'All Transactions'!$D$5:$D$436,$A150,'All Transactions'!$A$5:$A$436,D$4)</f>
        <v>475.42</v>
      </c>
      <c r="E150" s="3">
        <f>SUMIFS('All Transactions'!$F$5:$F$436,'All Transactions'!$D$5:$D$436,$A150,'All Transactions'!$A$5:$A$436,E$4)</f>
        <v>354.17</v>
      </c>
      <c r="F150" s="3">
        <f>SUM(B150:E150)</f>
        <v>1550.43</v>
      </c>
      <c r="G150" s="3">
        <f>F150/4</f>
        <v>387.6075</v>
      </c>
    </row>
    <row r="151">
      <c r="A151" s="12" t="inlineStr">
        <is>
          <t xml:space="preserve">Life Insurance (Lincoln National)</t>
        </is>
      </c>
      <c r="B151" s="3">
        <f>SUMIFS('All Transactions'!$F$5:$F$436,'All Transactions'!$D$5:$D$436,$A151,'All Transactions'!$A$5:$A$436,B$4)</f>
        <v>79.21</v>
      </c>
      <c r="C151" s="3">
        <f>SUMIFS('All Transactions'!$F$5:$F$436,'All Transactions'!$D$5:$D$436,$A151,'All Transactions'!$A$5:$A$436,C$4)</f>
        <v>73.61</v>
      </c>
      <c r="D151" s="3">
        <f>SUMIFS('All Transactions'!$F$5:$F$436,'All Transactions'!$D$5:$D$436,$A151,'All Transactions'!$A$5:$A$436,D$4)</f>
        <v>73.61</v>
      </c>
      <c r="E151" s="3">
        <f>SUMIFS('All Transactions'!$F$5:$F$436,'All Transactions'!$D$5:$D$436,$A151,'All Transactions'!$A$5:$A$436,E$4)</f>
        <v>73.61</v>
      </c>
      <c r="F151" s="3">
        <f>SUM(B151:E151)</f>
        <v>300.04</v>
      </c>
      <c r="G151" s="3">
        <f>F151/4</f>
        <v>75.01</v>
      </c>
    </row>
    <row r="152">
      <c r="A152" s="12" t="inlineStr">
        <is>
          <t xml:space="preserve">Banner Life Insurance</t>
        </is>
      </c>
      <c r="B152" s="3">
        <f>SUMIFS('All Transactions'!$F$5:$F$436,'All Transactions'!$D$5:$D$436,$A152,'All Transactions'!$A$5:$A$436,B$4)</f>
        <v>710.06</v>
      </c>
      <c r="C152" s="3">
        <f>SUMIFS('All Transactions'!$F$5:$F$436,'All Transactions'!$D$5:$D$436,$A152,'All Transactions'!$A$5:$A$436,C$4)</f>
        <v>710.06</v>
      </c>
      <c r="D152" s="3">
        <f>SUMIFS('All Transactions'!$F$5:$F$436,'All Transactions'!$D$5:$D$436,$A152,'All Transactions'!$A$5:$A$436,D$4)</f>
        <v>710.06</v>
      </c>
      <c r="E152" s="3">
        <f>SUMIFS('All Transactions'!$F$5:$F$436,'All Transactions'!$D$5:$D$436,$A152,'All Transactions'!$A$5:$A$436,E$4)</f>
        <v>710.06</v>
      </c>
      <c r="F152" s="3">
        <f>SUM(B152:E152)</f>
        <v>2840.24</v>
      </c>
      <c r="G152" s="3">
        <f>F152/4</f>
        <v>710.06</v>
      </c>
    </row>
    <row r="153">
      <c r="A153" s="12" t="inlineStr">
        <is>
          <t xml:space="preserve">Health Insurance – Blue Cross NC</t>
        </is>
      </c>
      <c r="B153" s="3">
        <f>SUMIFS('All Transactions'!$F$5:$F$436,'All Transactions'!$D$5:$D$436,$A153,'All Transactions'!$A$5:$A$436,B$4)</f>
        <v>216.25</v>
      </c>
      <c r="C153" s="3">
        <f>SUMIFS('All Transactions'!$F$5:$F$436,'All Transactions'!$D$5:$D$436,$A153,'All Transactions'!$A$5:$A$436,C$4)</f>
        <v>0</v>
      </c>
      <c r="D153" s="3">
        <f>SUMIFS('All Transactions'!$F$5:$F$436,'All Transactions'!$D$5:$D$436,$A153,'All Transactions'!$A$5:$A$436,D$4)</f>
        <v>432.5</v>
      </c>
      <c r="E153" s="3">
        <f>SUMIFS('All Transactions'!$F$5:$F$436,'All Transactions'!$D$5:$D$436,$A153,'All Transactions'!$A$5:$A$436,E$4)</f>
        <v>216.25</v>
      </c>
      <c r="F153" s="3">
        <f>SUM(B153:E153)</f>
        <v>865.0</v>
      </c>
      <c r="G153" s="3">
        <f>F153/4</f>
        <v>216.25</v>
      </c>
    </row>
    <row r="154">
      <c r="A154" s="12" t="inlineStr">
        <is>
          <t xml:space="preserve">Dental Insurance – Delta Dental</t>
        </is>
      </c>
      <c r="B154" s="3">
        <f>SUMIFS('All Transactions'!$F$5:$F$436,'All Transactions'!$D$5:$D$436,$A154,'All Transactions'!$A$5:$A$436,B$4)</f>
        <v>69.36</v>
      </c>
      <c r="C154" s="3">
        <f>SUMIFS('All Transactions'!$F$5:$F$436,'All Transactions'!$D$5:$D$436,$A154,'All Transactions'!$A$5:$A$436,C$4)</f>
        <v>69.36</v>
      </c>
      <c r="D154" s="3">
        <f>SUMIFS('All Transactions'!$F$5:$F$436,'All Transactions'!$D$5:$D$436,$A154,'All Transactions'!$A$5:$A$436,D$4)</f>
        <v>69.36</v>
      </c>
      <c r="E154" s="3">
        <f>SUMIFS('All Transactions'!$F$5:$F$436,'All Transactions'!$D$5:$D$436,$A154,'All Transactions'!$A$5:$A$436,E$4)</f>
        <v>69.36</v>
      </c>
      <c r="F154" s="3">
        <f>SUM(B154:E154)</f>
        <v>277.44</v>
      </c>
      <c r="G154" s="3">
        <f>F154/4</f>
        <v>69.36</v>
      </c>
    </row>
    <row r="155">
      <c r="A155" s="12" t="inlineStr">
        <is>
          <t xml:space="preserve">Verizon Wireless</t>
        </is>
      </c>
      <c r="B155" s="3">
        <f>SUMIFS('All Transactions'!$F$5:$F$436,'All Transactions'!$D$5:$D$436,$A155,'All Transactions'!$A$5:$A$436,B$4)</f>
        <v>294.57</v>
      </c>
      <c r="C155" s="3">
        <f>SUMIFS('All Transactions'!$F$5:$F$436,'All Transactions'!$D$5:$D$436,$A155,'All Transactions'!$A$5:$A$436,C$4)</f>
        <v>294.8</v>
      </c>
      <c r="D155" s="3">
        <f>SUMIFS('All Transactions'!$F$5:$F$436,'All Transactions'!$D$5:$D$436,$A155,'All Transactions'!$A$5:$A$436,D$4)</f>
        <v>436.02</v>
      </c>
      <c r="E155" s="3">
        <f>SUMIFS('All Transactions'!$F$5:$F$436,'All Transactions'!$D$5:$D$436,$A155,'All Transactions'!$A$5:$A$436,E$4)</f>
        <v>386.85</v>
      </c>
      <c r="F155" s="3">
        <f>SUM(B155:E155)</f>
        <v>1412.24</v>
      </c>
      <c r="G155" s="3">
        <f>F155/4</f>
        <v>353.06</v>
      </c>
    </row>
    <row r="156">
      <c r="A156" s="12" t="inlineStr">
        <is>
          <t xml:space="preserve">Student Loan (Dept of Education)</t>
        </is>
      </c>
      <c r="B156" s="3">
        <f>SUMIFS('All Transactions'!$F$5:$F$436,'All Transactions'!$D$5:$D$436,$A156,'All Transactions'!$A$5:$A$436,B$4)</f>
        <v>160.37</v>
      </c>
      <c r="C156" s="3">
        <f>SUMIFS('All Transactions'!$F$5:$F$436,'All Transactions'!$D$5:$D$436,$A156,'All Transactions'!$A$5:$A$436,C$4)</f>
        <v>160.37</v>
      </c>
      <c r="D156" s="3">
        <f>SUMIFS('All Transactions'!$F$5:$F$436,'All Transactions'!$D$5:$D$436,$A156,'All Transactions'!$A$5:$A$436,D$4)</f>
        <v>160.37</v>
      </c>
      <c r="E156" s="3">
        <f>SUMIFS('All Transactions'!$F$5:$F$436,'All Transactions'!$D$5:$D$436,$A156,'All Transactions'!$A$5:$A$436,E$4)</f>
        <v>160.37</v>
      </c>
      <c r="F156" s="3">
        <f>SUM(B156:E156)</f>
        <v>641.48</v>
      </c>
      <c r="G156" s="3">
        <f>F156/4</f>
        <v>160.37</v>
      </c>
    </row>
    <row r="157">
      <c r="A157" s="12" t="inlineStr">
        <is>
          <t xml:space="preserve">CVS Pharmacy</t>
        </is>
      </c>
      <c r="B157" s="3">
        <f>SUMIFS('All Transactions'!$F$5:$F$436,'All Transactions'!$D$5:$D$436,$A157,'All Transactions'!$A$5:$A$436,B$4)</f>
        <v>160.07</v>
      </c>
      <c r="C157" s="3">
        <f>SUMIFS('All Transactions'!$F$5:$F$436,'All Transactions'!$D$5:$D$436,$A157,'All Transactions'!$A$5:$A$436,C$4)</f>
        <v>100.93</v>
      </c>
      <c r="D157" s="3">
        <f>SUMIFS('All Transactions'!$F$5:$F$436,'All Transactions'!$D$5:$D$436,$A157,'All Transactions'!$A$5:$A$436,D$4)</f>
        <v>383.24</v>
      </c>
      <c r="E157" s="3">
        <f>SUMIFS('All Transactions'!$F$5:$F$436,'All Transactions'!$D$5:$D$436,$A157,'All Transactions'!$A$5:$A$436,E$4)</f>
        <v>0</v>
      </c>
      <c r="F157" s="3">
        <f>SUM(B157:E157)</f>
        <v>644.24</v>
      </c>
      <c r="G157" s="3">
        <f>F157/4</f>
        <v>161.06</v>
      </c>
    </row>
    <row r="158">
      <c r="A158" s="12" t="inlineStr">
        <is>
          <t xml:space="preserve">Utility – Electric (BEMC)</t>
        </is>
      </c>
      <c r="B158" s="3">
        <f>SUMIFS('All Transactions'!$F$5:$F$436,'All Transactions'!$D$5:$D$436,$A158,'All Transactions'!$A$5:$A$436,B$4)</f>
        <v>0</v>
      </c>
      <c r="C158" s="3">
        <f>SUMIFS('All Transactions'!$F$5:$F$436,'All Transactions'!$D$5:$D$436,$A158,'All Transactions'!$A$5:$A$436,C$4)</f>
        <v>336.35</v>
      </c>
      <c r="D158" s="3">
        <f>SUMIFS('All Transactions'!$F$5:$F$436,'All Transactions'!$D$5:$D$436,$A158,'All Transactions'!$A$5:$A$436,D$4)</f>
        <v>406.96</v>
      </c>
      <c r="E158" s="3">
        <f>SUMIFS('All Transactions'!$F$5:$F$436,'All Transactions'!$D$5:$D$436,$A158,'All Transactions'!$A$5:$A$436,E$4)</f>
        <v>419.66</v>
      </c>
      <c r="F158" s="3">
        <f>SUM(B158:E158)</f>
        <v>1162.97</v>
      </c>
      <c r="G158" s="3">
        <f>F158/4</f>
        <v>290.7425</v>
      </c>
    </row>
    <row r="159">
      <c r="A159" s="12" t="inlineStr">
        <is>
          <t xml:space="preserve">Utility – Water/Sewer (Brunswick County)</t>
        </is>
      </c>
      <c r="B159" s="3">
        <f>SUMIFS('All Transactions'!$F$5:$F$436,'All Transactions'!$D$5:$D$436,$A159,'All Transactions'!$A$5:$A$436,B$4)</f>
        <v>78.84</v>
      </c>
      <c r="C159" s="3">
        <f>SUMIFS('All Transactions'!$F$5:$F$436,'All Transactions'!$D$5:$D$436,$A159,'All Transactions'!$A$5:$A$436,C$4)</f>
        <v>0</v>
      </c>
      <c r="D159" s="3">
        <f>SUMIFS('All Transactions'!$F$5:$F$436,'All Transactions'!$D$5:$D$436,$A159,'All Transactions'!$A$5:$A$436,D$4)</f>
        <v>179.33</v>
      </c>
      <c r="E159" s="3">
        <f>SUMIFS('All Transactions'!$F$5:$F$436,'All Transactions'!$D$5:$D$436,$A159,'All Transactions'!$A$5:$A$436,E$4)</f>
        <v>84.26</v>
      </c>
      <c r="F159" s="3">
        <f>SUM(B159:E159)</f>
        <v>342.43</v>
      </c>
      <c r="G159" s="3">
        <f>F159/4</f>
        <v>85.6075</v>
      </c>
    </row>
    <row r="160">
      <c r="A160" s="12" t="inlineStr">
        <is>
          <t xml:space="preserve">Utilities total (BEMC + Brunswick County)</t>
        </is>
      </c>
      <c r="B160" s="3">
        <f>SUMIFS('All Transactions'!$F$5:$F$436,'All Transactions'!$E$5:$E$436,"Utilities",'All Transactions'!$A$5:$A$436,B$4)</f>
        <v>78.84</v>
      </c>
      <c r="C160" s="3">
        <f>SUMIFS('All Transactions'!$F$5:$F$436,'All Transactions'!$E$5:$E$436,"Utilities",'All Transactions'!$A$5:$A$436,C$4)</f>
        <v>336.35</v>
      </c>
      <c r="D160" s="3">
        <f>SUMIFS('All Transactions'!$F$5:$F$436,'All Transactions'!$E$5:$E$436,"Utilities",'All Transactions'!$A$5:$A$436,D$4)</f>
        <v>586.29</v>
      </c>
      <c r="E160" s="3">
        <f>SUMIFS('All Transactions'!$F$5:$F$436,'All Transactions'!$E$5:$E$436,"Utilities",'All Transactions'!$A$5:$A$436,E$4)</f>
        <v>503.92</v>
      </c>
      <c r="F160" s="3">
        <f>SUM(B160:E160)</f>
        <v>1505.4</v>
      </c>
      <c r="G160" s="3">
        <f>F160/4</f>
        <v>376.35</v>
      </c>
    </row>
    <row r="161">
      <c r="A161" s="12" t="inlineStr">
        <is>
          <t xml:space="preserve">Internet – Focus Broadband</t>
        </is>
      </c>
      <c r="B161" s="3">
        <f>SUMIFS('All Transactions'!$F$5:$F$436,'All Transactions'!$D$5:$D$436,$A161,'All Transactions'!$A$5:$A$436,B$4)</f>
        <v>80.79</v>
      </c>
      <c r="C161" s="3">
        <f>SUMIFS('All Transactions'!$F$5:$F$436,'All Transactions'!$D$5:$D$436,$A161,'All Transactions'!$A$5:$A$436,C$4)</f>
        <v>0</v>
      </c>
      <c r="D161" s="3">
        <f>SUMIFS('All Transactions'!$F$5:$F$436,'All Transactions'!$D$5:$D$436,$A161,'All Transactions'!$A$5:$A$436,D$4)</f>
        <v>161.58</v>
      </c>
      <c r="E161" s="3">
        <f>SUMIFS('All Transactions'!$F$5:$F$436,'All Transactions'!$D$5:$D$436,$A161,'All Transactions'!$A$5:$A$436,E$4)</f>
        <v>80.79</v>
      </c>
      <c r="F161" s="3">
        <f>SUM(B161:E161)</f>
        <v>323.16</v>
      </c>
      <c r="G161" s="3">
        <f>F161/4</f>
        <v>80.79</v>
      </c>
    </row>
    <row r="162">
      <c r="A162" s="12" t="inlineStr">
        <is>
          <t xml:space="preserve">Restaurants &amp; Takeout</t>
        </is>
      </c>
      <c r="B162" s="3">
        <f>SUMIFS('All Transactions'!$F$5:$F$436,'All Transactions'!$D$5:$D$436,$A162,'All Transactions'!$A$5:$A$436,B$4)</f>
        <v>1019.45</v>
      </c>
      <c r="C162" s="3">
        <f>SUMIFS('All Transactions'!$F$5:$F$436,'All Transactions'!$D$5:$D$436,$A162,'All Transactions'!$A$5:$A$436,C$4)</f>
        <v>909.94</v>
      </c>
      <c r="D162" s="3">
        <f>SUMIFS('All Transactions'!$F$5:$F$436,'All Transactions'!$D$5:$D$436,$A162,'All Transactions'!$A$5:$A$436,D$4)</f>
        <v>962.62</v>
      </c>
      <c r="E162" s="3">
        <f>SUMIFS('All Transactions'!$F$5:$F$436,'All Transactions'!$D$5:$D$436,$A162,'All Transactions'!$A$5:$A$436,E$4)</f>
        <v>839.3</v>
      </c>
      <c r="F162" s="3">
        <f>SUM(B162:E162)</f>
        <v>3731.31</v>
      </c>
      <c r="G162" s="3">
        <f>F162/4</f>
        <v>932.8275</v>
      </c>
    </row>
    <row r="163">
      <c r="A163" s="12" t="inlineStr">
        <is>
          <t xml:space="preserve">Gas &amp; Convenience Stores</t>
        </is>
      </c>
      <c r="B163" s="3">
        <f>SUMIFS('All Transactions'!$F$5:$F$436,'All Transactions'!$D$5:$D$436,$A163,'All Transactions'!$A$5:$A$436,B$4)</f>
        <v>108.9</v>
      </c>
      <c r="C163" s="3">
        <f>SUMIFS('All Transactions'!$F$5:$F$436,'All Transactions'!$D$5:$D$436,$A163,'All Transactions'!$A$5:$A$436,C$4)</f>
        <v>277.87</v>
      </c>
      <c r="D163" s="3">
        <f>SUMIFS('All Transactions'!$F$5:$F$436,'All Transactions'!$D$5:$D$436,$A163,'All Transactions'!$A$5:$A$436,D$4)</f>
        <v>167.24</v>
      </c>
      <c r="E163" s="3">
        <f>SUMIFS('All Transactions'!$F$5:$F$436,'All Transactions'!$D$5:$D$436,$A163,'All Transactions'!$A$5:$A$436,E$4)</f>
        <v>238.98</v>
      </c>
      <c r="F163" s="3">
        <f>SUM(B163:E163)</f>
        <v>792.99</v>
      </c>
      <c r="G163" s="3">
        <f>F163/4</f>
        <v>198.2475</v>
      </c>
    </row>
    <row r="164">
      <c r="A164" s="12" t="inlineStr">
        <is>
          <t xml:space="preserve">Groceries (Lowes Foods + Publix + Food Lion)</t>
        </is>
      </c>
      <c r="B164" s="3">
        <f>SUMIFS('All Transactions'!$F$5:$F$436,'All Transactions'!$E$5:$E$436,"Groceries",'All Transactions'!$A$5:$A$436,B$4)</f>
        <v>1266.4</v>
      </c>
      <c r="C164" s="3">
        <f>SUMIFS('All Transactions'!$F$5:$F$436,'All Transactions'!$E$5:$E$436,"Groceries",'All Transactions'!$A$5:$A$436,C$4)</f>
        <v>1279.24</v>
      </c>
      <c r="D164" s="3">
        <f>SUMIFS('All Transactions'!$F$5:$F$436,'All Transactions'!$E$5:$E$436,"Groceries",'All Transactions'!$A$5:$A$436,D$4)</f>
        <v>1184.27</v>
      </c>
      <c r="E164" s="3">
        <f>SUMIFS('All Transactions'!$F$5:$F$436,'All Transactions'!$E$5:$E$436,"Groceries",'All Transactions'!$A$5:$A$436,E$4)</f>
        <v>1202.5</v>
      </c>
      <c r="F164" s="3">
        <f>SUM(B164:E164)</f>
        <v>4932.41</v>
      </c>
      <c r="G164" s="3">
        <f>F164/4</f>
        <v>1233.1025</v>
      </c>
    </row>
    <row r="165">
      <c r="A165" s="12" t="inlineStr">
        <is>
          <t xml:space="preserve">Haircuts – The Color Bar</t>
        </is>
      </c>
      <c r="B165" s="3">
        <f>SUMIFS('All Transactions'!$F$5:$F$436,'All Transactions'!$D$5:$D$436,$A165,'All Transactions'!$A$5:$A$436,B$4)</f>
        <v>182.5</v>
      </c>
      <c r="C165" s="3">
        <f>SUMIFS('All Transactions'!$F$5:$F$436,'All Transactions'!$D$5:$D$436,$A165,'All Transactions'!$A$5:$A$436,C$4)</f>
        <v>0</v>
      </c>
      <c r="D165" s="3">
        <f>SUMIFS('All Transactions'!$F$5:$F$436,'All Transactions'!$D$5:$D$436,$A165,'All Transactions'!$A$5:$A$436,D$4)</f>
        <v>182.5</v>
      </c>
      <c r="E165" s="3">
        <f>SUMIFS('All Transactions'!$F$5:$F$436,'All Transactions'!$D$5:$D$436,$A165,'All Transactions'!$A$5:$A$436,E$4)</f>
        <v>32.5</v>
      </c>
      <c r="F165" s="3">
        <f>SUM(B165:E165)</f>
        <v>397.5</v>
      </c>
      <c r="G165" s="3">
        <f>F165/4</f>
        <v>99.375</v>
      </c>
    </row>
    <row r="166">
      <c r="A166" s="12" t="inlineStr">
        <is>
          <t xml:space="preserve">Retail (all retailers)</t>
        </is>
      </c>
      <c r="B166" s="3">
        <f>SUMIFS('All Transactions'!$F$5:$F$436,'All Transactions'!$E$5:$E$436,"Retail",'All Transactions'!$A$5:$A$436,B$4)</f>
        <v>815.42</v>
      </c>
      <c r="C166" s="3">
        <f>SUMIFS('All Transactions'!$F$5:$F$436,'All Transactions'!$E$5:$E$436,"Retail",'All Transactions'!$A$5:$A$436,C$4)</f>
        <v>1150.18</v>
      </c>
      <c r="D166" s="3">
        <f>SUMIFS('All Transactions'!$F$5:$F$436,'All Transactions'!$E$5:$E$436,"Retail",'All Transactions'!$A$5:$A$436,D$4)</f>
        <v>2380.47</v>
      </c>
      <c r="E166" s="3">
        <f>SUMIFS('All Transactions'!$F$5:$F$436,'All Transactions'!$E$5:$E$436,"Retail",'All Transactions'!$A$5:$A$436,E$4)</f>
        <v>357.62</v>
      </c>
      <c r="F166" s="3">
        <f>SUM(B166:E166)</f>
        <v>4703.69</v>
      </c>
      <c r="G166" s="3">
        <f>F166/4</f>
        <v>1175.9225</v>
      </c>
    </row>
    <row r="167">
      <c r="A167" s="12" t="inlineStr">
        <is>
          <t xml:space="preserve">Streaming (all services)</t>
        </is>
      </c>
      <c r="B167" s="3">
        <f>SUMIFS('All Transactions'!$F$5:$F$436,'All Transactions'!$E$5:$E$436,"Streaming",'All Transactions'!$A$5:$A$436,B$4)</f>
        <v>188.8</v>
      </c>
      <c r="C167" s="3">
        <f>SUMIFS('All Transactions'!$F$5:$F$436,'All Transactions'!$E$5:$E$436,"Streaming",'All Transactions'!$A$5:$A$436,C$4)</f>
        <v>201.6</v>
      </c>
      <c r="D167" s="3">
        <f>SUMIFS('All Transactions'!$F$5:$F$436,'All Transactions'!$E$5:$E$436,"Streaming",'All Transactions'!$A$5:$A$436,D$4)</f>
        <v>158.35</v>
      </c>
      <c r="E167" s="3">
        <f>SUMIFS('All Transactions'!$F$5:$F$436,'All Transactions'!$E$5:$E$436,"Streaming",'All Transactions'!$A$5:$A$436,E$4)</f>
        <v>188.98</v>
      </c>
      <c r="F167" s="3">
        <f>SUM(B167:E167)</f>
        <v>737.73</v>
      </c>
      <c r="G167" s="3">
        <f>F167/4</f>
        <v>184.4325</v>
      </c>
    </row>
    <row r="169">
      <c r="A169" s="5" t="inlineStr">
        <is>
          <t xml:space="preserve">Notes &amp; assumptions</t>
        </is>
      </c>
    </row>
    <row r="170" ht="27" customHeight="1">
      <c r="A170" s="11" t="inlineStr">
        <is>
          <t xml:space="preserve">• "Month" = the bank statement period (June stmt 5/27–6/24, July 6/25–7/23, Aug 7/24–8/25, Sept 8/26–9/24), not the calendar month.</t>
        </is>
      </c>
    </row>
    <row r="171" ht="27" customHeight="1">
      <c r="A171" s="11" t="inlineStr">
        <is>
          <t xml:space="preserve">• Items not counted as spending, and the check against the bank statements, are on the "Not Counted as Spending" tab. The "August Differences" tab explains why August was higher. "Autobks*Nextgen" = the yard company (Home group).</t>
        </is>
      </c>
    </row>
    <row r="172" ht="27" customHeight="1">
      <c r="A172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73" ht="27" customHeight="1">
      <c r="A173" s="11" t="inlineStr">
        <is>
          <t xml:space="preserve">• Not counted as spending (per your instructions): WTW health premium ($2,576/mo, reimbursed by Via Benefits), American Express credit card payoffs, Sloane Realty, Dust and Mop House, Bowery West, checks #101/102/103/518/520, and a $3.26 transfer to your own Wells Fargo account. They are listed in their own section so the sheet still ties to the bank statement.</t>
        </is>
      </c>
    </row>
    <row r="174" ht="27" customHeight="1">
      <c r="A174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75" ht="27" customHeight="1">
      <c r="A175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76" ht="27" customHeight="1">
      <c r="A176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Granville Medical and Duke charges are small hospital food/parking charges, listed under Health.</t>
        </is>
      </c>
    </row>
  </sheetData>
  <mergeCells count="7">
    <mergeCell ref="A170:G170"/>
    <mergeCell ref="A171:G171"/>
    <mergeCell ref="A172:G172"/>
    <mergeCell ref="A173:G173"/>
    <mergeCell ref="A174:G174"/>
    <mergeCell ref="A175:G175"/>
    <mergeCell ref="A176:G176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46" customWidth="1"/>
    <col min="2" max="2" width="13" customWidth="1"/>
    <col min="3" max="3" width="17" customWidth="1"/>
    <col min="4" max="4" width="14" customWidth="1"/>
    <col min="5" max="5" width="70" customWidth="1"/>
  </cols>
  <sheetData>
    <row r="1">
      <c r="A1" s="10" t="inlineStr">
        <is>
          <t xml:space="preserve">Why August Was Higher</t>
        </is>
      </c>
    </row>
    <row r="2">
      <c r="A2" s="14" t="inlineStr">
        <is>
          <t xml:space="preserve">August statement (7/24–8/25/26) compared with the average of the June, July and September statements. Sorted by largest increase.</t>
        </is>
      </c>
    </row>
    <row r="4" ht="30" customHeight="1">
      <c r="A4" s="15" t="inlineStr">
        <is>
          <t xml:space="preserve">Line item</t>
        </is>
      </c>
      <c r="B4" s="1" t="inlineStr">
        <is>
          <t xml:space="preserve">August</t>
        </is>
      </c>
      <c r="C4" s="1" t="inlineStr">
        <is>
          <t xml:space="preserve">Avg of Jun, Jul, Sep</t>
        </is>
      </c>
      <c r="D4" s="1" t="inlineStr">
        <is>
          <t xml:space="preserve">Difference</t>
        </is>
      </c>
      <c r="E4" s="15" t="inlineStr">
        <is>
          <t xml:space="preserve">What happened in August</t>
        </is>
      </c>
    </row>
    <row r="5">
      <c r="A5" s="12" t="inlineStr">
        <is>
          <t xml:space="preserve">Retail – Walmart</t>
        </is>
      </c>
      <c r="B5" s="3">
        <f>'Monthly Summary'!D79</f>
        <v>1732.6</v>
      </c>
      <c r="C5" s="3">
        <f>AVERAGE('Monthly Summary'!B79,'Monthly Summary'!C79,'Monthly Summary'!E79)</f>
        <v>55.096667</v>
      </c>
      <c r="D5" s="3">
        <f>B5-C5</f>
        <v>1677.503333</v>
      </c>
      <c r="E5" s="2" t="inlineStr">
        <is>
          <t xml:space="preserve">One large purchase of $1,461.90 on 7/31 (Southport). Aug charges: 7/31 $1,461.90; 8/10 $145.54; 8/20 $125.16</t>
        </is>
      </c>
    </row>
    <row r="6">
      <c r="A6" s="12" t="inlineStr">
        <is>
          <t xml:space="preserve">Medical – Dosher Hospital (Southport)</t>
        </is>
      </c>
      <c r="B6" s="3">
        <f>'Monthly Summary'!D67</f>
        <v>467.66</v>
      </c>
      <c r="C6" s="3">
        <f>AVERAGE('Monthly Summary'!B67,'Monthly Summary'!C67,'Monthly Summary'!E67)</f>
        <v>33.426667</v>
      </c>
      <c r="D6" s="3">
        <f>B6-C6</f>
        <v>434.233333</v>
      </c>
      <c r="E6" s="2" t="inlineStr">
        <is>
          <t xml:space="preserve">Aug charges: 7/29 $342.66; 8/14 $125.00</t>
        </is>
      </c>
    </row>
    <row r="7">
      <c r="A7" s="12" t="inlineStr">
        <is>
          <t xml:space="preserve">CVS Pharmacy</t>
        </is>
      </c>
      <c r="B7" s="3">
        <f>'Monthly Summary'!D66</f>
        <v>383.24</v>
      </c>
      <c r="C7" s="3">
        <f>AVERAGE('Monthly Summary'!B66,'Monthly Summary'!C66,'Monthly Summary'!E66)</f>
        <v>87.0</v>
      </c>
      <c r="D7" s="3">
        <f>B7-C7</f>
        <v>296.24</v>
      </c>
      <c r="E7" s="2" t="inlineStr">
        <is>
          <t xml:space="preserve">Aug charges: 7/31 $202.55; 8/6 $149.55; 8/19 $31.14</t>
        </is>
      </c>
    </row>
    <row r="8">
      <c r="A8" s="12" t="inlineStr">
        <is>
          <t xml:space="preserve">Health Insurance – Blue Cross NC</t>
        </is>
      </c>
      <c r="B8" s="3">
        <f>'Monthly Summary'!D16</f>
        <v>432.5</v>
      </c>
      <c r="C8" s="3">
        <f>AVERAGE('Monthly Summary'!B16,'Monthly Summary'!C16,'Monthly Summary'!E16)</f>
        <v>144.166667</v>
      </c>
      <c r="D8" s="3">
        <f>B8-C8</f>
        <v>288.333333</v>
      </c>
      <c r="E8" s="2" t="inlineStr">
        <is>
          <t xml:space="preserve">Two months paid in one charge; no Blue Cross payment fell in the July period. Aug charges: 7/29 $432.50</t>
        </is>
      </c>
    </row>
    <row r="9">
      <c r="A9" s="12" t="inlineStr">
        <is>
          <t xml:space="preserve">Retail – Dillard's</t>
        </is>
      </c>
      <c r="B9" s="3">
        <f>'Monthly Summary'!D83</f>
        <v>174.74</v>
      </c>
      <c r="C9" s="3">
        <f>AVERAGE('Monthly Summary'!B83,'Monthly Summary'!C83,'Monthly Summary'!E83)</f>
        <v>0.0</v>
      </c>
      <c r="D9" s="3">
        <f>B9-C9</f>
        <v>174.74</v>
      </c>
      <c r="E9" s="2" t="inlineStr">
        <is>
          <t xml:space="preserve">Aug charges: 8/14 $120.44; 8/24 $54.30</t>
        </is>
      </c>
    </row>
    <row r="10">
      <c r="A10" s="12" t="inlineStr">
        <is>
          <t xml:space="preserve">Grocery – Publix</t>
        </is>
      </c>
      <c r="B10" s="3">
        <f>'Monthly Summary'!D36</f>
        <v>522.68</v>
      </c>
      <c r="C10" s="3">
        <f>AVERAGE('Monthly Summary'!B36,'Monthly Summary'!C36,'Monthly Summary'!E36)</f>
        <v>360.93</v>
      </c>
      <c r="D10" s="3">
        <f>B10-C10</f>
        <v>161.75</v>
      </c>
      <c r="E10" s="2" t="inlineStr">
        <is>
          <t xml:space="preserve">Aug charges: 7/27 $85.70; 8/3 $239.44; 8/5 $15.39; 8/11 $182.15</t>
        </is>
      </c>
    </row>
    <row r="11">
      <c r="A11" s="12" t="inlineStr">
        <is>
          <t xml:space="preserve">Utility – Electric (BEMC)</t>
        </is>
      </c>
      <c r="B11" s="3">
        <f>'Monthly Summary'!D21</f>
        <v>406.96</v>
      </c>
      <c r="C11" s="3">
        <f>AVERAGE('Monthly Summary'!B21,'Monthly Summary'!C21,'Monthly Summary'!E21)</f>
        <v>252.003333</v>
      </c>
      <c r="D11" s="3">
        <f>B11-C11</f>
        <v>154.956667</v>
      </c>
      <c r="E11" s="2" t="inlineStr">
        <is>
          <t xml:space="preserve">No BEMC payment fell in the June period, so the other-month average is low. Aug charges: 7/29 $406.96</t>
        </is>
      </c>
    </row>
    <row r="12">
      <c r="A12" s="12" t="inlineStr">
        <is>
          <t xml:space="preserve">Retail – Hobby Lobby</t>
        </is>
      </c>
      <c r="B12" s="3">
        <f>'Monthly Summary'!D86</f>
        <v>165.67</v>
      </c>
      <c r="C12" s="3">
        <f>AVERAGE('Monthly Summary'!B86,'Monthly Summary'!C86,'Monthly Summary'!E86)</f>
        <v>12.443333</v>
      </c>
      <c r="D12" s="3">
        <f>B12-C12</f>
        <v>153.226667</v>
      </c>
      <c r="E12" s="2" t="inlineStr">
        <is>
          <t xml:space="preserve">Aug charges: 8/4 $20.66; 8/17 $145.01</t>
        </is>
      </c>
    </row>
    <row r="13">
      <c r="A13" s="12" t="inlineStr">
        <is>
          <t xml:space="preserve">Retail – Lowe's (home improvement)</t>
        </is>
      </c>
      <c r="B13" s="3">
        <f>'Monthly Summary'!D87</f>
        <v>171.55</v>
      </c>
      <c r="C13" s="3">
        <f>AVERAGE('Monthly Summary'!B87,'Monthly Summary'!C87,'Monthly Summary'!E87)</f>
        <v>37.646667</v>
      </c>
      <c r="D13" s="3">
        <f>B13-C13</f>
        <v>133.903333</v>
      </c>
      <c r="E13" s="2" t="inlineStr">
        <is>
          <t xml:space="preserve">Aug charges: 8/7 $171.55</t>
        </is>
      </c>
    </row>
    <row r="14">
      <c r="A14" s="12" t="inlineStr">
        <is>
          <t xml:space="preserve">Yard Company (NextGen)</t>
        </is>
      </c>
      <c r="B14" s="3">
        <f>'Monthly Summary'!D98</f>
        <v>220.0</v>
      </c>
      <c r="C14" s="3">
        <f>AVERAGE('Monthly Summary'!B98,'Monthly Summary'!C98,'Monthly Summary'!E98)</f>
        <v>93.333333</v>
      </c>
      <c r="D14" s="3">
        <f>B14-C14</f>
        <v>126.666667</v>
      </c>
      <c r="E14" s="2" t="inlineStr">
        <is>
          <t xml:space="preserve">Aug charges: 7/29 $100.00; 8/5 $60.00; 8/18 $60.00</t>
        </is>
      </c>
    </row>
    <row r="15">
      <c r="A15" s="12" t="inlineStr">
        <is>
          <t xml:space="preserve">Utility – Water/Sewer (Brunswick County)</t>
        </is>
      </c>
      <c r="B15" s="3">
        <f>'Monthly Summary'!D22</f>
        <v>179.33</v>
      </c>
      <c r="C15" s="3">
        <f>AVERAGE('Monthly Summary'!B22,'Monthly Summary'!C22,'Monthly Summary'!E22)</f>
        <v>54.366667</v>
      </c>
      <c r="D15" s="3">
        <f>B15-C15</f>
        <v>124.963333</v>
      </c>
      <c r="E15" s="2" t="inlineStr">
        <is>
          <t xml:space="preserve">Aug charges: 7/30 $91.83; 7/30 $2.95; 8/12 $81.60; 8/12 $2.95</t>
        </is>
      </c>
    </row>
    <row r="16">
      <c r="A16" s="12" t="inlineStr">
        <is>
          <t xml:space="preserve">Allstate Insurance</t>
        </is>
      </c>
      <c r="B16" s="3">
        <f>'Monthly Summary'!D13</f>
        <v>475.42</v>
      </c>
      <c r="C16" s="3">
        <f>AVERAGE('Monthly Summary'!B13,'Monthly Summary'!C13,'Monthly Summary'!E13)</f>
        <v>358.336667</v>
      </c>
      <c r="D16" s="3">
        <f>B16-C16</f>
        <v>117.083333</v>
      </c>
      <c r="E16" s="2" t="inlineStr">
        <is>
          <t xml:space="preserve">Extra $115 payment on 8/3 on top of the regular monthly draft. Aug charges: 8/3 $115.00; 8/20 $360.42</t>
        </is>
      </c>
    </row>
    <row r="17">
      <c r="A17" s="12" t="inlineStr">
        <is>
          <t xml:space="preserve">Haircuts – The Color Bar</t>
        </is>
      </c>
      <c r="B17" s="3">
        <f>'Monthly Summary'!D74</f>
        <v>182.5</v>
      </c>
      <c r="C17" s="3">
        <f>AVERAGE('Monthly Summary'!B74,'Monthly Summary'!C74,'Monthly Summary'!E74)</f>
        <v>71.666667</v>
      </c>
      <c r="D17" s="3">
        <f>B17-C17</f>
        <v>110.833333</v>
      </c>
      <c r="E17" s="2" t="inlineStr">
        <is>
          <t xml:space="preserve">Aug charges: 7/28 $32.50; 8/20 $150.00</t>
        </is>
      </c>
    </row>
    <row r="18">
      <c r="A18" s="12" t="inlineStr">
        <is>
          <t xml:space="preserve">Verizon Wireless</t>
        </is>
      </c>
      <c r="B18" s="3">
        <f>'Monthly Summary'!D27</f>
        <v>436.02</v>
      </c>
      <c r="C18" s="3">
        <f>AVERAGE('Monthly Summary'!B27,'Monthly Summary'!C27,'Monthly Summary'!E27)</f>
        <v>325.406667</v>
      </c>
      <c r="D18" s="3">
        <f>B18-C18</f>
        <v>110.613333</v>
      </c>
      <c r="E18" s="2" t="inlineStr">
        <is>
          <t xml:space="preserve">Higher bill than usual. Aug charges: 8/21 $436.02</t>
        </is>
      </c>
    </row>
    <row r="19">
      <c r="A19" s="12" t="inlineStr">
        <is>
          <t xml:space="preserve">Internet – Focus Broadband</t>
        </is>
      </c>
      <c r="B19" s="3">
        <f>'Monthly Summary'!D26</f>
        <v>161.58</v>
      </c>
      <c r="C19" s="3">
        <f>AVERAGE('Monthly Summary'!B26,'Monthly Summary'!C26,'Monthly Summary'!E26)</f>
        <v>53.86</v>
      </c>
      <c r="D19" s="3">
        <f>B19-C19</f>
        <v>107.72</v>
      </c>
      <c r="E19" s="2" t="inlineStr">
        <is>
          <t xml:space="preserve">Two monthly payments fell in this statement period. Aug charges: 7/29 $80.79; 8/10 $80.79</t>
        </is>
      </c>
    </row>
    <row r="20">
      <c r="A20" s="12" t="inlineStr">
        <is>
          <t xml:space="preserve">Retail – HomeSense</t>
        </is>
      </c>
      <c r="B20" s="3">
        <f>'Monthly Summary'!D85</f>
        <v>88.7</v>
      </c>
      <c r="C20" s="3">
        <f>AVERAGE('Monthly Summary'!B85,'Monthly Summary'!C85,'Monthly Summary'!E85)</f>
        <v>0.0</v>
      </c>
      <c r="D20" s="3">
        <f>B20-C20</f>
        <v>88.7</v>
      </c>
      <c r="E20" s="2" t="inlineStr">
        <is>
          <t xml:space="preserve">Aug charges: 8/14 $88.70</t>
        </is>
      </c>
    </row>
    <row r="21">
      <c r="A21" s="12" t="inlineStr">
        <is>
          <t xml:space="preserve">Home Services (Pest Control, Lawn Treatment)</t>
        </is>
      </c>
      <c r="B21" s="3">
        <f>'Monthly Summary'!D99</f>
        <v>104.0</v>
      </c>
      <c r="C21" s="3">
        <f>AVERAGE('Monthly Summary'!B99,'Monthly Summary'!C99,'Monthly Summary'!E99)</f>
        <v>47.35</v>
      </c>
      <c r="D21" s="3">
        <f>B21-C21</f>
        <v>56.65</v>
      </c>
      <c r="E21" s="2" t="inlineStr">
        <is>
          <t xml:space="preserve">Aug charges: 7/29 $104.00</t>
        </is>
      </c>
    </row>
    <row r="22">
      <c r="A22" s="12" t="inlineStr">
        <is>
          <t xml:space="preserve">Restaurants &amp; Takeout</t>
        </is>
      </c>
      <c r="B22" s="3">
        <f>'Monthly Summary'!D42</f>
        <v>962.62</v>
      </c>
      <c r="C22" s="3">
        <f>AVERAGE('Monthly Summary'!B42,'Monthly Summary'!C42,'Monthly Summary'!E42)</f>
        <v>922.896667</v>
      </c>
      <c r="D22" s="3">
        <f>B22-C22</f>
        <v>39.723333</v>
      </c>
      <c r="E22" s="2" t="inlineStr">
        <is>
          <t xml:space="preserve">Aug charges: 7/24 $54.00; 7/27 $44.55; 7/27 $28.23; 7/27 $9.60; 7/29 $49.73</t>
        </is>
      </c>
    </row>
    <row r="23">
      <c r="A23" s="12" t="inlineStr">
        <is>
          <t xml:space="preserve">Retail – Tractor Supply</t>
        </is>
      </c>
      <c r="B23" s="3">
        <f>'Monthly Summary'!D89</f>
        <v>29.86</v>
      </c>
      <c r="C23" s="3">
        <f>AVERAGE('Monthly Summary'!B89,'Monthly Summary'!C89,'Monthly Summary'!E89)</f>
        <v>0.0</v>
      </c>
      <c r="D23" s="3">
        <f>B23-C23</f>
        <v>29.86</v>
      </c>
      <c r="E23" s="2" t="inlineStr">
        <is>
          <t xml:space="preserve">Aug charges: 8/18 $29.86</t>
        </is>
      </c>
    </row>
    <row r="24">
      <c r="A24" s="12" t="inlineStr">
        <is>
          <t xml:space="preserve">Retail – Dollar Tree / Dollar General</t>
        </is>
      </c>
      <c r="B24" s="3">
        <f>'Monthly Summary'!D93</f>
        <v>17.35</v>
      </c>
      <c r="C24" s="3">
        <f>AVERAGE('Monthly Summary'!B93,'Monthly Summary'!C93,'Monthly Summary'!E93)</f>
        <v>1.956667</v>
      </c>
      <c r="D24" s="3">
        <f>B24-C24</f>
        <v>15.393333</v>
      </c>
      <c r="E24" s="2" t="inlineStr">
        <is>
          <t xml:space="preserve">Aug charges: 8/4 $17.35</t>
        </is>
      </c>
    </row>
    <row r="25">
      <c r="A25" s="12" t="inlineStr">
        <is>
          <t xml:space="preserve">Entertainment (Surf Cinema)</t>
        </is>
      </c>
      <c r="B25" s="3">
        <f>'Monthly Summary'!D108</f>
        <v>13.5</v>
      </c>
      <c r="C25" s="3">
        <f>AVERAGE('Monthly Summary'!B108,'Monthly Summary'!C108,'Monthly Summary'!E108)</f>
        <v>0.0</v>
      </c>
      <c r="D25" s="3">
        <f>B25-C25</f>
        <v>13.5</v>
      </c>
      <c r="E25" s="2" t="inlineStr">
        <is>
          <t xml:space="preserve">Aug charges: 8/10 $13.50</t>
        </is>
      </c>
    </row>
    <row r="26">
      <c r="A26" s="12" t="inlineStr">
        <is>
          <t xml:space="preserve">Streaming – Hulu</t>
        </is>
      </c>
      <c r="B26" s="3">
        <f>'Monthly Summary'!D55</f>
        <v>12.8</v>
      </c>
      <c r="C26" s="3">
        <f>AVERAGE('Monthly Summary'!B55,'Monthly Summary'!C55,'Monthly Summary'!E55)</f>
        <v>4.266667</v>
      </c>
      <c r="D26" s="3">
        <f>B26-C26</f>
        <v>8.533333</v>
      </c>
      <c r="E26" s="2" t="inlineStr">
        <is>
          <t xml:space="preserve">Aug charges: 7/27 $12.80</t>
        </is>
      </c>
    </row>
    <row r="27">
      <c r="A27" s="12" t="inlineStr">
        <is>
          <t xml:space="preserve">Transfers to People (Venmo/Zelle)</t>
        </is>
      </c>
      <c r="B27" s="3">
        <f>'Monthly Summary'!D112</f>
        <v>331.5</v>
      </c>
      <c r="C27" s="3">
        <f>AVERAGE('Monthly Summary'!B112,'Monthly Summary'!C112,'Monthly Summary'!E112)</f>
        <v>323.016667</v>
      </c>
      <c r="D27" s="3">
        <f>B27-C27</f>
        <v>8.483333</v>
      </c>
      <c r="E27" s="2" t="inlineStr">
        <is>
          <t xml:space="preserve">Aug charges: 8/7 $331.50</t>
        </is>
      </c>
    </row>
    <row r="28">
      <c r="A28" s="12" t="inlineStr">
        <is>
          <t xml:space="preserve">A&amp;D Mortgage</t>
        </is>
      </c>
      <c r="B28" s="3">
        <f>'Monthly Summary'!D7</f>
        <v>3411.1</v>
      </c>
      <c r="C28" s="3">
        <f>AVERAGE('Monthly Summary'!B7,'Monthly Summary'!C7,'Monthly Summary'!E7)</f>
        <v>3411.1</v>
      </c>
      <c r="D28" s="3">
        <f>B28-C28</f>
        <v>0.0</v>
      </c>
      <c r="E28" s="2" t="inlineStr">
        <is>
          <t xml:space="preserve">Aug charges: 8/17 $3,411.10</t>
        </is>
      </c>
    </row>
    <row r="29">
      <c r="A29" s="12" t="inlineStr">
        <is>
          <t xml:space="preserve">Banner Life Insurance</t>
        </is>
      </c>
      <c r="B29" s="3">
        <f>'Monthly Summary'!D15</f>
        <v>710.06</v>
      </c>
      <c r="C29" s="3">
        <f>AVERAGE('Monthly Summary'!B15,'Monthly Summary'!C15,'Monthly Summary'!E15)</f>
        <v>710.06</v>
      </c>
      <c r="D29" s="3">
        <f>B29-C29</f>
        <v>0.0</v>
      </c>
      <c r="E29" s="2" t="inlineStr">
        <is>
          <t xml:space="preserve">Aug charges: 8/10 $710.06</t>
        </is>
      </c>
    </row>
    <row r="30">
      <c r="A30" s="12" t="inlineStr">
        <is>
          <t xml:space="preserve">Dental Insurance – Delta Dental</t>
        </is>
      </c>
      <c r="B30" s="3">
        <f>'Monthly Summary'!D17</f>
        <v>69.36</v>
      </c>
      <c r="C30" s="3">
        <f>AVERAGE('Monthly Summary'!B17,'Monthly Summary'!C17,'Monthly Summary'!E17)</f>
        <v>69.36</v>
      </c>
      <c r="D30" s="3">
        <f>B30-C30</f>
        <v>0.0</v>
      </c>
      <c r="E30" s="2" t="inlineStr">
        <is>
          <t xml:space="preserve">Aug charges: 8/6 $69.36</t>
        </is>
      </c>
    </row>
    <row r="31">
      <c r="A31" s="12" t="inlineStr">
        <is>
          <t xml:space="preserve">Student Loan (Dept of Education)</t>
        </is>
      </c>
      <c r="B31" s="3">
        <f>'Monthly Summary'!D31</f>
        <v>160.37</v>
      </c>
      <c r="C31" s="3">
        <f>AVERAGE('Monthly Summary'!B31,'Monthly Summary'!C31,'Monthly Summary'!E31)</f>
        <v>160.37</v>
      </c>
      <c r="D31" s="3">
        <f>B31-C31</f>
        <v>0.0</v>
      </c>
      <c r="E31" s="2" t="inlineStr">
        <is>
          <t xml:space="preserve">Aug charges: 8/14 $160.37</t>
        </is>
      </c>
    </row>
    <row r="32">
      <c r="A32" s="12" t="inlineStr">
        <is>
          <t xml:space="preserve">Streaming – ESPN (Sept billed as Disney Plus)</t>
        </is>
      </c>
      <c r="B32" s="3">
        <f>'Monthly Summary'!D52</f>
        <v>13.87</v>
      </c>
      <c r="C32" s="3">
        <f>AVERAGE('Monthly Summary'!B52,'Monthly Summary'!C52,'Monthly Summary'!E52)</f>
        <v>13.87</v>
      </c>
      <c r="D32" s="3">
        <f>B32-C32</f>
        <v>0.0</v>
      </c>
      <c r="E32" s="2" t="inlineStr">
        <is>
          <t xml:space="preserve">Aug charges: 8/13 $13.87</t>
        </is>
      </c>
    </row>
    <row r="33">
      <c r="A33" s="12" t="inlineStr">
        <is>
          <t xml:space="preserve">Streaming – Disney (via Roku)</t>
        </is>
      </c>
      <c r="B33" s="3">
        <f>'Monthly Summary'!D53</f>
        <v>20.27</v>
      </c>
      <c r="C33" s="3">
        <f>AVERAGE('Monthly Summary'!B53,'Monthly Summary'!C53,'Monthly Summary'!E53)</f>
        <v>20.27</v>
      </c>
      <c r="D33" s="3">
        <f>B33-C33</f>
        <v>0.0</v>
      </c>
      <c r="E33" s="2" t="inlineStr">
        <is>
          <t xml:space="preserve">Aug charges: 7/29 $20.27</t>
        </is>
      </c>
    </row>
    <row r="34">
      <c r="A34" s="12" t="inlineStr">
        <is>
          <t xml:space="preserve">Streaming – Frndly TV</t>
        </is>
      </c>
      <c r="B34" s="3">
        <f>'Monthly Summary'!D57</f>
        <v>22.41</v>
      </c>
      <c r="C34" s="3">
        <f>AVERAGE('Monthly Summary'!B57,'Monthly Summary'!C57,'Monthly Summary'!E57)</f>
        <v>22.41</v>
      </c>
      <c r="D34" s="3">
        <f>B34-C34</f>
        <v>0.0</v>
      </c>
      <c r="E34" s="2" t="inlineStr">
        <is>
          <t xml:space="preserve">Aug charges: 8/5 $22.41</t>
        </is>
      </c>
    </row>
    <row r="35">
      <c r="A35" s="12" t="inlineStr">
        <is>
          <t xml:space="preserve">Life Insurance (Lincoln National)</t>
        </is>
      </c>
      <c r="B35" s="3">
        <f>'Monthly Summary'!D14</f>
        <v>73.61</v>
      </c>
      <c r="C35" s="3">
        <f>AVERAGE('Monthly Summary'!B14,'Monthly Summary'!C14,'Monthly Summary'!E14)</f>
        <v>75.476667</v>
      </c>
      <c r="D35" s="3">
        <f>B35-C35</f>
        <v>-1.866667</v>
      </c>
      <c r="E35" s="2" t="inlineStr">
        <is>
          <t xml:space="preserve">Aug charges: 8/18 $73.61</t>
        </is>
      </c>
    </row>
    <row r="36">
      <c r="A36" s="12" t="inlineStr">
        <is>
          <t xml:space="preserve">Medical – Duke Hospital (Durham, food &amp; parking)</t>
        </is>
      </c>
      <c r="B36" s="3">
        <f>'Monthly Summary'!D70</f>
        <v>0</v>
      </c>
      <c r="C36" s="3">
        <f>AVERAGE('Monthly Summary'!B70,'Monthly Summary'!C70,'Monthly Summary'!E70)</f>
        <v>4.916667</v>
      </c>
      <c r="D36" s="3">
        <f>B36-C36</f>
        <v>-4.916667</v>
      </c>
      <c r="E36" s="2" t="inlineStr">
        <is>
          <t xml:space="preserve"/>
        </is>
      </c>
    </row>
    <row r="37">
      <c r="A37" s="12" t="inlineStr">
        <is>
          <t xml:space="preserve">Tolls &amp; Parking</t>
        </is>
      </c>
      <c r="B37" s="3">
        <f>'Monthly Summary'!D47</f>
        <v>18.44</v>
      </c>
      <c r="C37" s="3">
        <f>AVERAGE('Monthly Summary'!B47,'Monthly Summary'!C47,'Monthly Summary'!E47)</f>
        <v>24.693333</v>
      </c>
      <c r="D37" s="3">
        <f>B37-C37</f>
        <v>-6.253333</v>
      </c>
      <c r="E37" s="2" t="inlineStr">
        <is>
          <t xml:space="preserve">Aug charges: 7/29 $11.84; 7/31 $1.60; 7/31 $5.00</t>
        </is>
      </c>
    </row>
    <row r="38">
      <c r="A38" s="12" t="inlineStr">
        <is>
          <t xml:space="preserve">Streaming – Peacock (via Roku)</t>
        </is>
      </c>
      <c r="B38" s="3">
        <f>'Monthly Summary'!D56</f>
        <v>0</v>
      </c>
      <c r="C38" s="3">
        <f>AVERAGE('Monthly Summary'!B56,'Monthly Summary'!C56,'Monthly Summary'!E56)</f>
        <v>7.82</v>
      </c>
      <c r="D38" s="3">
        <f>B38-C38</f>
        <v>-7.82</v>
      </c>
      <c r="E38" s="2" t="inlineStr">
        <is>
          <t xml:space="preserve"/>
        </is>
      </c>
    </row>
    <row r="39">
      <c r="A39" s="12" t="inlineStr">
        <is>
          <t xml:space="preserve">Retail – Cat on a Whisk</t>
        </is>
      </c>
      <c r="B39" s="3">
        <f>'Monthly Summary'!D88</f>
        <v>0</v>
      </c>
      <c r="C39" s="3">
        <f>AVERAGE('Monthly Summary'!B88,'Monthly Summary'!C88,'Monthly Summary'!E88)</f>
        <v>8.17</v>
      </c>
      <c r="D39" s="3">
        <f>B39-C39</f>
        <v>-8.17</v>
      </c>
      <c r="E39" s="2" t="inlineStr">
        <is>
          <t xml:space="preserve"/>
        </is>
      </c>
    </row>
    <row r="40">
      <c r="A40" s="12" t="inlineStr">
        <is>
          <t xml:space="preserve">Medical – Granville Medical Center (Oxford)</t>
        </is>
      </c>
      <c r="B40" s="3">
        <f>'Monthly Summary'!D69</f>
        <v>0</v>
      </c>
      <c r="C40" s="3">
        <f>AVERAGE('Monthly Summary'!B69,'Monthly Summary'!C69,'Monthly Summary'!E69)</f>
        <v>8.386667</v>
      </c>
      <c r="D40" s="3">
        <f>B40-C40</f>
        <v>-8.386667</v>
      </c>
      <c r="E40" s="2" t="inlineStr">
        <is>
          <t xml:space="preserve"/>
        </is>
      </c>
    </row>
    <row r="41">
      <c r="A41" s="12" t="inlineStr">
        <is>
          <t xml:space="preserve">St. James Marina</t>
        </is>
      </c>
      <c r="B41" s="3">
        <f>'Monthly Summary'!D107</f>
        <v>0</v>
      </c>
      <c r="C41" s="3">
        <f>AVERAGE('Monthly Summary'!B107,'Monthly Summary'!C107,'Monthly Summary'!E107)</f>
        <v>11.18</v>
      </c>
      <c r="D41" s="3">
        <f>B41-C41</f>
        <v>-11.18</v>
      </c>
      <c r="E41" s="2" t="inlineStr">
        <is>
          <t xml:space="preserve"/>
        </is>
      </c>
    </row>
    <row r="42">
      <c r="A42" s="12" t="inlineStr">
        <is>
          <t xml:space="preserve">Streaming – HBO Max</t>
        </is>
      </c>
      <c r="B42" s="3">
        <f>'Monthly Summary'!D54</f>
        <v>0</v>
      </c>
      <c r="C42" s="3">
        <f>AVERAGE('Monthly Summary'!B54,'Monthly Summary'!C54,'Monthly Summary'!E54)</f>
        <v>13.16</v>
      </c>
      <c r="D42" s="3">
        <f>B42-C42</f>
        <v>-13.16</v>
      </c>
      <c r="E42" s="2" t="inlineStr">
        <is>
          <t xml:space="preserve"/>
        </is>
      </c>
    </row>
    <row r="43">
      <c r="A43" s="12" t="inlineStr">
        <is>
          <t xml:space="preserve">Retail – Marshalls</t>
        </is>
      </c>
      <c r="B43" s="3">
        <f>'Monthly Summary'!D81</f>
        <v>0</v>
      </c>
      <c r="C43" s="3">
        <f>AVERAGE('Monthly Summary'!B81,'Monthly Summary'!C81,'Monthly Summary'!E81)</f>
        <v>13.863333</v>
      </c>
      <c r="D43" s="3">
        <f>B43-C43</f>
        <v>-13.863333</v>
      </c>
      <c r="E43" s="2" t="inlineStr">
        <is>
          <t xml:space="preserve"/>
        </is>
      </c>
    </row>
    <row r="44">
      <c r="A44" s="12" t="inlineStr">
        <is>
          <t xml:space="preserve">Retail – Bath &amp; Body Works</t>
        </is>
      </c>
      <c r="B44" s="3">
        <f>'Monthly Summary'!D92</f>
        <v>0</v>
      </c>
      <c r="C44" s="3">
        <f>AVERAGE('Monthly Summary'!B92,'Monthly Summary'!C92,'Monthly Summary'!E92)</f>
        <v>17.103333</v>
      </c>
      <c r="D44" s="3">
        <f>B44-C44</f>
        <v>-17.103333</v>
      </c>
      <c r="E44" s="2" t="inlineStr">
        <is>
          <t xml:space="preserve"/>
        </is>
      </c>
    </row>
    <row r="45">
      <c r="A45" s="12" t="inlineStr">
        <is>
          <t xml:space="preserve">Retail – Target</t>
        </is>
      </c>
      <c r="B45" s="3">
        <f>'Monthly Summary'!D84</f>
        <v>0</v>
      </c>
      <c r="C45" s="3">
        <f>AVERAGE('Monthly Summary'!B84,'Monthly Summary'!C84,'Monthly Summary'!E84)</f>
        <v>19.66</v>
      </c>
      <c r="D45" s="3">
        <f>B45-C45</f>
        <v>-19.66</v>
      </c>
      <c r="E45" s="2" t="inlineStr">
        <is>
          <t xml:space="preserve"/>
        </is>
      </c>
    </row>
    <row r="46">
      <c r="A46" s="12" t="inlineStr">
        <is>
          <t xml:space="preserve">Medical – Wilmington Eye</t>
        </is>
      </c>
      <c r="B46" s="3">
        <f>'Monthly Summary'!D68</f>
        <v>0</v>
      </c>
      <c r="C46" s="3">
        <f>AVERAGE('Monthly Summary'!B68,'Monthly Summary'!C68,'Monthly Summary'!E68)</f>
        <v>20.0</v>
      </c>
      <c r="D46" s="3">
        <f>B46-C46</f>
        <v>-20.0</v>
      </c>
      <c r="E46" s="2" t="inlineStr">
        <is>
          <t xml:space="preserve"/>
        </is>
      </c>
    </row>
    <row r="47">
      <c r="A47" s="12" t="inlineStr">
        <is>
          <t xml:space="preserve">Retail – Dick's Sporting Goods</t>
        </is>
      </c>
      <c r="B47" s="3">
        <f>'Monthly Summary'!D90</f>
        <v>0</v>
      </c>
      <c r="C47" s="3">
        <f>AVERAGE('Monthly Summary'!B90,'Monthly Summary'!C90,'Monthly Summary'!E90)</f>
        <v>21.203333</v>
      </c>
      <c r="D47" s="3">
        <f>B47-C47</f>
        <v>-21.203333</v>
      </c>
      <c r="E47" s="2" t="inlineStr">
        <is>
          <t xml:space="preserve"/>
        </is>
      </c>
    </row>
    <row r="48">
      <c r="A48" s="12" t="inlineStr">
        <is>
          <t xml:space="preserve">Retail – Ross</t>
        </is>
      </c>
      <c r="B48" s="3">
        <f>'Monthly Summary'!D82</f>
        <v>0</v>
      </c>
      <c r="C48" s="3">
        <f>AVERAGE('Monthly Summary'!B82,'Monthly Summary'!C82,'Monthly Summary'!E82)</f>
        <v>21.45</v>
      </c>
      <c r="D48" s="3">
        <f>B48-C48</f>
        <v>-21.45</v>
      </c>
      <c r="E48" s="2" t="inlineStr">
        <is>
          <t xml:space="preserve"/>
        </is>
      </c>
    </row>
    <row r="49">
      <c r="A49" s="12" t="inlineStr">
        <is>
          <t xml:space="preserve">Streaming – YouTube TV (Google)</t>
        </is>
      </c>
      <c r="B49" s="3">
        <f>'Monthly Summary'!D51</f>
        <v>89.0</v>
      </c>
      <c r="C49" s="3">
        <f>AVERAGE('Monthly Summary'!B51,'Monthly Summary'!C51,'Monthly Summary'!E51)</f>
        <v>111.33</v>
      </c>
      <c r="D49" s="3">
        <f>B49-C49</f>
        <v>-22.33</v>
      </c>
      <c r="E49" s="2" t="inlineStr">
        <is>
          <t xml:space="preserve">Aug charges: 7/29 $89.00</t>
        </is>
      </c>
    </row>
    <row r="50">
      <c r="A50" s="12" t="inlineStr">
        <is>
          <t xml:space="preserve">Personal Care – Simple Beauty</t>
        </is>
      </c>
      <c r="B50" s="3">
        <f>'Monthly Summary'!D75</f>
        <v>0</v>
      </c>
      <c r="C50" s="3">
        <f>AVERAGE('Monthly Summary'!B75,'Monthly Summary'!C75,'Monthly Summary'!E75)</f>
        <v>27.333333</v>
      </c>
      <c r="D50" s="3">
        <f>B50-C50</f>
        <v>-27.333333</v>
      </c>
      <c r="E50" s="2" t="inlineStr">
        <is>
          <t xml:space="preserve"/>
        </is>
      </c>
    </row>
    <row r="51">
      <c r="A51" s="12" t="inlineStr">
        <is>
          <t xml:space="preserve">Travel (Lyft, Hotel)</t>
        </is>
      </c>
      <c r="B51" s="3">
        <f>'Monthly Summary'!D103</f>
        <v>0</v>
      </c>
      <c r="C51" s="3">
        <f>AVERAGE('Monthly Summary'!B103,'Monthly Summary'!C103,'Monthly Summary'!E103)</f>
        <v>34.216667</v>
      </c>
      <c r="D51" s="3">
        <f>B51-C51</f>
        <v>-34.216667</v>
      </c>
      <c r="E51" s="2" t="inlineStr">
        <is>
          <t xml:space="preserve"/>
        </is>
      </c>
    </row>
    <row r="52">
      <c r="A52" s="12" t="inlineStr">
        <is>
          <t xml:space="preserve">Grocery – Food Lion</t>
        </is>
      </c>
      <c r="B52" s="3">
        <f>'Monthly Summary'!D37</f>
        <v>77.34</v>
      </c>
      <c r="C52" s="3">
        <f>AVERAGE('Monthly Summary'!B37,'Monthly Summary'!C37,'Monthly Summary'!E37)</f>
        <v>112.223333</v>
      </c>
      <c r="D52" s="3">
        <f>B52-C52</f>
        <v>-34.883333</v>
      </c>
      <c r="E52" s="2" t="inlineStr">
        <is>
          <t xml:space="preserve">Aug charges: 8/4 $77.34</t>
        </is>
      </c>
    </row>
    <row r="53">
      <c r="A53" s="12" t="inlineStr">
        <is>
          <t xml:space="preserve">Software &amp; Online Subscriptions</t>
        </is>
      </c>
      <c r="B53" s="3">
        <f>'Monthly Summary'!D62</f>
        <v>65.98</v>
      </c>
      <c r="C53" s="3">
        <f>AVERAGE('Monthly Summary'!B62,'Monthly Summary'!C62,'Monthly Summary'!E62)</f>
        <v>100.926667</v>
      </c>
      <c r="D53" s="3">
        <f>B53-C53</f>
        <v>-34.946667</v>
      </c>
      <c r="E53" s="2" t="inlineStr">
        <is>
          <t xml:space="preserve">Aug charges: 7/27 $2.99; 7/27 $20.00; 7/27 $20.00; 8/11 $20.00; 8/25 $2.99</t>
        </is>
      </c>
    </row>
    <row r="54">
      <c r="A54" s="12" t="inlineStr">
        <is>
          <t xml:space="preserve">Gas &amp; Convenience Stores</t>
        </is>
      </c>
      <c r="B54" s="3">
        <f>'Monthly Summary'!D46</f>
        <v>167.24</v>
      </c>
      <c r="C54" s="3">
        <f>AVERAGE('Monthly Summary'!B46,'Monthly Summary'!C46,'Monthly Summary'!E46)</f>
        <v>208.583333</v>
      </c>
      <c r="D54" s="3">
        <f>B54-C54</f>
        <v>-41.343333</v>
      </c>
      <c r="E54" s="2" t="inlineStr">
        <is>
          <t xml:space="preserve">Aug charges: 7/29 $4.06; 7/29 $47.80; 7/30 $6.78; 8/3 $9.47; 8/3 $46.23</t>
        </is>
      </c>
    </row>
    <row r="55">
      <c r="A55" s="12" t="inlineStr">
        <is>
          <t xml:space="preserve">Retail – Ulta Beauty</t>
        </is>
      </c>
      <c r="B55" s="3">
        <f>'Monthly Summary'!D91</f>
        <v>0</v>
      </c>
      <c r="C55" s="3">
        <f>AVERAGE('Monthly Summary'!B91,'Monthly Summary'!C91,'Monthly Summary'!E91)</f>
        <v>44.903333</v>
      </c>
      <c r="D55" s="3">
        <f>B55-C55</f>
        <v>-44.903333</v>
      </c>
      <c r="E55" s="2" t="inlineStr">
        <is>
          <t xml:space="preserve"/>
        </is>
      </c>
    </row>
    <row r="56">
      <c r="A56" s="12" t="inlineStr">
        <is>
          <t xml:space="preserve">Cash (ATM) &amp; Bank Fees</t>
        </is>
      </c>
      <c r="B56" s="3">
        <f>'Monthly Summary'!D117</f>
        <v>0</v>
      </c>
      <c r="C56" s="3">
        <f>AVERAGE('Monthly Summary'!B117,'Monthly Summary'!C117,'Monthly Summary'!E117)</f>
        <v>49.0</v>
      </c>
      <c r="D56" s="3">
        <f>B56-C56</f>
        <v>-49.0</v>
      </c>
      <c r="E56" s="2" t="inlineStr">
        <is>
          <t xml:space="preserve"/>
        </is>
      </c>
    </row>
    <row r="57">
      <c r="A57" s="12" t="inlineStr">
        <is>
          <t xml:space="preserve">Donations &amp; Clubs (Kiwanis)</t>
        </is>
      </c>
      <c r="B57" s="3">
        <f>'Monthly Summary'!D116</f>
        <v>0</v>
      </c>
      <c r="C57" s="3">
        <f>AVERAGE('Monthly Summary'!B116,'Monthly Summary'!C116,'Monthly Summary'!E116)</f>
        <v>66.666667</v>
      </c>
      <c r="D57" s="3">
        <f>B57-C57</f>
        <v>-66.666667</v>
      </c>
      <c r="E57" s="2" t="inlineStr">
        <is>
          <t xml:space="preserve"/>
        </is>
      </c>
    </row>
    <row r="58">
      <c r="A58" s="12" t="inlineStr">
        <is>
          <t xml:space="preserve">Retail – Local shops (Hippie Chick, Southport Spices, Mad River, Coastal Carolina)</t>
        </is>
      </c>
      <c r="B58" s="3">
        <f>'Monthly Summary'!D94</f>
        <v>0</v>
      </c>
      <c r="C58" s="3">
        <f>AVERAGE('Monthly Summary'!B94,'Monthly Summary'!C94,'Monthly Summary'!E94)</f>
        <v>76.0</v>
      </c>
      <c r="D58" s="3">
        <f>B58-C58</f>
        <v>-76.0</v>
      </c>
      <c r="E58" s="2" t="inlineStr">
        <is>
          <t xml:space="preserve"/>
        </is>
      </c>
    </row>
    <row r="59">
      <c r="A59" s="12" t="inlineStr">
        <is>
          <t xml:space="preserve">Other Food Stores (Harris Teeter, Beach Pantry)</t>
        </is>
      </c>
      <c r="B59" s="3">
        <f>'Monthly Summary'!D41</f>
        <v>5.85</v>
      </c>
      <c r="C59" s="3">
        <f>AVERAGE('Monthly Summary'!B41,'Monthly Summary'!C41,'Monthly Summary'!E41)</f>
        <v>87.783333</v>
      </c>
      <c r="D59" s="3">
        <f>B59-C59</f>
        <v>-81.933333</v>
      </c>
      <c r="E59" s="2" t="inlineStr">
        <is>
          <t xml:space="preserve">Aug charges: 7/29 $5.85</t>
        </is>
      </c>
    </row>
    <row r="60">
      <c r="A60" s="12" t="inlineStr">
        <is>
          <t xml:space="preserve">St. James Membership (Club)</t>
        </is>
      </c>
      <c r="B60" s="3">
        <f>'Monthly Summary'!D8</f>
        <v>1492.11</v>
      </c>
      <c r="C60" s="3">
        <f>AVERAGE('Monthly Summary'!B8,'Monthly Summary'!C8,'Monthly Summary'!E8)</f>
        <v>1653.446667</v>
      </c>
      <c r="D60" s="3">
        <f>B60-C60</f>
        <v>-161.336667</v>
      </c>
      <c r="E60" s="2" t="inlineStr">
        <is>
          <t xml:space="preserve">Smaller club bill than usual. Aug charges: 8/20 $1,492.11</t>
        </is>
      </c>
    </row>
    <row r="61">
      <c r="A61" s="12" t="inlineStr">
        <is>
          <t xml:space="preserve">Grocery – Lowes Foods</t>
        </is>
      </c>
      <c r="B61" s="3">
        <f>'Monthly Summary'!D35</f>
        <v>584.25</v>
      </c>
      <c r="C61" s="3">
        <f>AVERAGE('Monthly Summary'!B35,'Monthly Summary'!C35,'Monthly Summary'!E35)</f>
        <v>776.226667</v>
      </c>
      <c r="D61" s="3">
        <f>B61-C61</f>
        <v>-191.976667</v>
      </c>
      <c r="E61" s="2" t="inlineStr">
        <is>
          <t xml:space="preserve">Aug charges: 8/4 $63.82; 8/6 $60.15; 8/17 $6.49; 8/17 $10.99; 8/18 $275.25</t>
        </is>
      </c>
    </row>
    <row r="62">
      <c r="A62" s="12" t="inlineStr">
        <is>
          <t xml:space="preserve">St. James Plantation POA Dues</t>
        </is>
      </c>
      <c r="B62" s="3">
        <f>'Monthly Summary'!D9</f>
        <v>0</v>
      </c>
      <c r="C62" s="3">
        <f>AVERAGE('Monthly Summary'!B9,'Monthly Summary'!C9,'Monthly Summary'!E9)</f>
        <v>230.983333</v>
      </c>
      <c r="D62" s="3">
        <f>B62-C62</f>
        <v>-230.983333</v>
      </c>
      <c r="E62" s="2" t="inlineStr">
        <is>
          <t xml:space="preserve">POA dues were paid in June only</t>
        </is>
      </c>
    </row>
    <row r="63">
      <c r="A63" s="12" t="inlineStr">
        <is>
          <t xml:space="preserve">Retail – Belk (store card payments)</t>
        </is>
      </c>
      <c r="B63" s="3">
        <f>'Monthly Summary'!D80</f>
        <v>0</v>
      </c>
      <c r="C63" s="3">
        <f>AVERAGE('Monthly Summary'!B80,'Monthly Summary'!C80,'Monthly Summary'!E80)</f>
        <v>444.91</v>
      </c>
      <c r="D63" s="3">
        <f>B63-C63</f>
        <v>-444.91</v>
      </c>
      <c r="E63" s="2" t="inlineStr">
        <is>
          <t xml:space="preserve">No Belk payment in the August period</t>
        </is>
      </c>
    </row>
    <row r="64">
      <c r="A64" s="8" t="inlineStr">
        <is>
          <t xml:space="preserve">TOTAL SPENDING</t>
        </is>
      </c>
      <c r="B64" s="9">
        <f>SUM(B5:B63)</f>
        <v>14654.04</v>
      </c>
      <c r="C64" s="9">
        <f>SUM(C5:C63)</f>
        <v>11938.226667</v>
      </c>
      <c r="D64" s="9">
        <f>B64-C64</f>
        <v>2715.813333</v>
      </c>
      <c r="E64" s="8"/>
    </row>
    <row r="66">
      <c r="A66" s="5" t="inlineStr">
        <is>
          <t xml:space="preserve">Without the one-time $1,461.90 Walmart purchase (7/31)</t>
        </is>
      </c>
    </row>
    <row r="67">
      <c r="A67" s="12" t="inlineStr">
        <is>
          <t xml:space="preserve">Walmart purchase on 7/31</t>
        </is>
      </c>
      <c r="B67" s="13">
        <v>1461.9</v>
      </c>
    </row>
    <row r="68">
      <c r="A68" s="12" t="inlineStr">
        <is>
          <t xml:space="preserve">August spending without it</t>
        </is>
      </c>
      <c r="B68" s="3">
        <f>B64-B67</f>
        <v>13192.14</v>
      </c>
      <c r="C68" s="3">
        <f>C64</f>
        <v>11938.226667</v>
      </c>
      <c r="D68" s="3">
        <f>B68-C68</f>
        <v>1253.913333</v>
      </c>
    </row>
    <row r="70">
      <c r="A70" s="5" t="inlineStr">
        <is>
          <t xml:space="preserve">By category</t>
        </is>
      </c>
    </row>
    <row r="71">
      <c r="A71" s="15" t="inlineStr">
        <is>
          <t xml:space="preserve">Category</t>
        </is>
      </c>
      <c r="B71" s="1" t="inlineStr">
        <is>
          <t xml:space="preserve">August</t>
        </is>
      </c>
      <c r="C71" s="1" t="inlineStr">
        <is>
          <t xml:space="preserve">Avg of Jun, Jul, Sep</t>
        </is>
      </c>
      <c r="D71" s="1" t="inlineStr">
        <is>
          <t xml:space="preserve">Difference</t>
        </is>
      </c>
    </row>
    <row r="72">
      <c r="A72" s="12" t="inlineStr">
        <is>
          <t xml:space="preserve">Retail</t>
        </is>
      </c>
      <c r="B72" s="3">
        <f>'Monthly Summary'!D95</f>
        <v>2380.47</v>
      </c>
      <c r="C72" s="3">
        <f>AVERAGE('Monthly Summary'!B95,'Monthly Summary'!C95,'Monthly Summary'!E95)</f>
        <v>774.406667</v>
      </c>
      <c r="D72" s="3">
        <f>B72-C72</f>
        <v>1606.063333</v>
      </c>
    </row>
    <row r="73">
      <c r="A73" s="12" t="inlineStr">
        <is>
          <t xml:space="preserve">Health</t>
        </is>
      </c>
      <c r="B73" s="3">
        <f>'Monthly Summary'!D71</f>
        <v>850.9</v>
      </c>
      <c r="C73" s="3">
        <f>AVERAGE('Monthly Summary'!B71,'Monthly Summary'!C71,'Monthly Summary'!E71)</f>
        <v>153.73</v>
      </c>
      <c r="D73" s="3">
        <f>B73-C73</f>
        <v>697.17</v>
      </c>
    </row>
    <row r="74">
      <c r="A74" s="12" t="inlineStr">
        <is>
          <t xml:space="preserve">Insurance</t>
        </is>
      </c>
      <c r="B74" s="3">
        <f>'Monthly Summary'!D18</f>
        <v>1760.95</v>
      </c>
      <c r="C74" s="3">
        <f>AVERAGE('Monthly Summary'!B18,'Monthly Summary'!C18,'Monthly Summary'!E18)</f>
        <v>1357.4</v>
      </c>
      <c r="D74" s="3">
        <f>B74-C74</f>
        <v>403.55</v>
      </c>
    </row>
    <row r="75">
      <c r="A75" s="12" t="inlineStr">
        <is>
          <t xml:space="preserve">Utilities</t>
        </is>
      </c>
      <c r="B75" s="3">
        <f>'Monthly Summary'!D23</f>
        <v>586.29</v>
      </c>
      <c r="C75" s="3">
        <f>AVERAGE('Monthly Summary'!B23,'Monthly Summary'!C23,'Monthly Summary'!E23)</f>
        <v>306.37</v>
      </c>
      <c r="D75" s="3">
        <f>B75-C75</f>
        <v>279.92</v>
      </c>
    </row>
    <row r="76">
      <c r="A76" s="12" t="inlineStr">
        <is>
          <t xml:space="preserve">Phone &amp; Internet</t>
        </is>
      </c>
      <c r="B76" s="3">
        <f>'Monthly Summary'!D28</f>
        <v>597.6</v>
      </c>
      <c r="C76" s="3">
        <f>AVERAGE('Monthly Summary'!B28,'Monthly Summary'!C28,'Monthly Summary'!E28)</f>
        <v>379.266667</v>
      </c>
      <c r="D76" s="3">
        <f>B76-C76</f>
        <v>218.333333</v>
      </c>
    </row>
    <row r="77">
      <c r="A77" s="12" t="inlineStr">
        <is>
          <t xml:space="preserve">Home</t>
        </is>
      </c>
      <c r="B77" s="3">
        <f>'Monthly Summary'!D100</f>
        <v>324.0</v>
      </c>
      <c r="C77" s="3">
        <f>AVERAGE('Monthly Summary'!B100,'Monthly Summary'!C100,'Monthly Summary'!E100)</f>
        <v>140.683333</v>
      </c>
      <c r="D77" s="3">
        <f>B77-C77</f>
        <v>183.316667</v>
      </c>
    </row>
    <row r="78">
      <c r="A78" s="12" t="inlineStr">
        <is>
          <t xml:space="preserve">Personal</t>
        </is>
      </c>
      <c r="B78" s="3">
        <f>'Monthly Summary'!D76</f>
        <v>182.5</v>
      </c>
      <c r="C78" s="3">
        <f>AVERAGE('Monthly Summary'!B76,'Monthly Summary'!C76,'Monthly Summary'!E76)</f>
        <v>99.0</v>
      </c>
      <c r="D78" s="3">
        <f>B78-C78</f>
        <v>83.5</v>
      </c>
    </row>
    <row r="79">
      <c r="A79" s="12" t="inlineStr">
        <is>
          <t xml:space="preserve">Transfers</t>
        </is>
      </c>
      <c r="B79" s="3">
        <f>'Monthly Summary'!D113</f>
        <v>331.5</v>
      </c>
      <c r="C79" s="3">
        <f>AVERAGE('Monthly Summary'!B113,'Monthly Summary'!C113,'Monthly Summary'!E113)</f>
        <v>323.016667</v>
      </c>
      <c r="D79" s="3">
        <f>B79-C79</f>
        <v>8.483333</v>
      </c>
    </row>
    <row r="80">
      <c r="A80" s="12" t="inlineStr">
        <is>
          <t xml:space="preserve">Recreation</t>
        </is>
      </c>
      <c r="B80" s="3">
        <f>'Monthly Summary'!D109</f>
        <v>13.5</v>
      </c>
      <c r="C80" s="3">
        <f>AVERAGE('Monthly Summary'!B109,'Monthly Summary'!C109,'Monthly Summary'!E109)</f>
        <v>11.18</v>
      </c>
      <c r="D80" s="3">
        <f>B80-C80</f>
        <v>2.32</v>
      </c>
    </row>
    <row r="81">
      <c r="A81" s="12" t="inlineStr">
        <is>
          <t xml:space="preserve">Student Loan</t>
        </is>
      </c>
      <c r="B81" s="3">
        <f>'Monthly Summary'!D32</f>
        <v>160.37</v>
      </c>
      <c r="C81" s="3">
        <f>AVERAGE('Monthly Summary'!B32,'Monthly Summary'!C32,'Monthly Summary'!E32)</f>
        <v>160.37</v>
      </c>
      <c r="D81" s="3">
        <f>B81-C81</f>
        <v>0.0</v>
      </c>
    </row>
    <row r="82">
      <c r="A82" s="12" t="inlineStr">
        <is>
          <t xml:space="preserve">Travel</t>
        </is>
      </c>
      <c r="B82" s="3">
        <f>'Monthly Summary'!D104</f>
        <v>0</v>
      </c>
      <c r="C82" s="3">
        <f>AVERAGE('Monthly Summary'!B104,'Monthly Summary'!C104,'Monthly Summary'!E104)</f>
        <v>34.216667</v>
      </c>
      <c r="D82" s="3">
        <f>B82-C82</f>
        <v>-34.216667</v>
      </c>
    </row>
    <row r="83">
      <c r="A83" s="12" t="inlineStr">
        <is>
          <t xml:space="preserve">Streaming</t>
        </is>
      </c>
      <c r="B83" s="3">
        <f>'Monthly Summary'!D59</f>
        <v>158.35</v>
      </c>
      <c r="C83" s="3">
        <f>AVERAGE('Monthly Summary'!B59,'Monthly Summary'!C59,'Monthly Summary'!E59)</f>
        <v>193.126667</v>
      </c>
      <c r="D83" s="3">
        <f>B83-C83</f>
        <v>-34.776667</v>
      </c>
    </row>
    <row r="84">
      <c r="A84" s="12" t="inlineStr">
        <is>
          <t xml:space="preserve">Subscriptions</t>
        </is>
      </c>
      <c r="B84" s="3">
        <f>'Monthly Summary'!D63</f>
        <v>65.98</v>
      </c>
      <c r="C84" s="3">
        <f>AVERAGE('Monthly Summary'!B63,'Monthly Summary'!C63,'Monthly Summary'!E63)</f>
        <v>100.926667</v>
      </c>
      <c r="D84" s="3">
        <f>B84-C84</f>
        <v>-34.946667</v>
      </c>
    </row>
    <row r="85">
      <c r="A85" s="12" t="inlineStr">
        <is>
          <t xml:space="preserve">Food</t>
        </is>
      </c>
      <c r="B85" s="3">
        <f>'Monthly Summary'!D43</f>
        <v>968.47</v>
      </c>
      <c r="C85" s="3">
        <f>AVERAGE('Monthly Summary'!B43,'Monthly Summary'!C43,'Monthly Summary'!E43)</f>
        <v>1010.68</v>
      </c>
      <c r="D85" s="3">
        <f>B85-C85</f>
        <v>-42.21</v>
      </c>
    </row>
    <row r="86">
      <c r="A86" s="12" t="inlineStr">
        <is>
          <t xml:space="preserve">Transportation</t>
        </is>
      </c>
      <c r="B86" s="3">
        <f>'Monthly Summary'!D48</f>
        <v>185.68</v>
      </c>
      <c r="C86" s="3">
        <f>AVERAGE('Monthly Summary'!B48,'Monthly Summary'!C48,'Monthly Summary'!E48)</f>
        <v>233.276667</v>
      </c>
      <c r="D86" s="3">
        <f>B86-C86</f>
        <v>-47.596667</v>
      </c>
    </row>
    <row r="87">
      <c r="A87" s="12" t="inlineStr">
        <is>
          <t xml:space="preserve">Groceries</t>
        </is>
      </c>
      <c r="B87" s="3">
        <f>'Monthly Summary'!D38</f>
        <v>1184.27</v>
      </c>
      <c r="C87" s="3">
        <f>AVERAGE('Monthly Summary'!B38,'Monthly Summary'!C38,'Monthly Summary'!E38)</f>
        <v>1249.38</v>
      </c>
      <c r="D87" s="3">
        <f>B87-C87</f>
        <v>-65.11</v>
      </c>
    </row>
    <row r="88">
      <c r="A88" s="12" t="inlineStr">
        <is>
          <t xml:space="preserve">Other</t>
        </is>
      </c>
      <c r="B88" s="3">
        <f>'Monthly Summary'!D118</f>
        <v>0</v>
      </c>
      <c r="C88" s="3">
        <f>AVERAGE('Monthly Summary'!B118,'Monthly Summary'!C118,'Monthly Summary'!E118)</f>
        <v>115.666667</v>
      </c>
      <c r="D88" s="3">
        <f>B88-C88</f>
        <v>-115.666667</v>
      </c>
    </row>
    <row r="89">
      <c r="A89" s="12" t="inlineStr">
        <is>
          <t xml:space="preserve">Housing</t>
        </is>
      </c>
      <c r="B89" s="3">
        <f>'Monthly Summary'!D10</f>
        <v>4903.21</v>
      </c>
      <c r="C89" s="3">
        <f>AVERAGE('Monthly Summary'!B10,'Monthly Summary'!C10,'Monthly Summary'!E10)</f>
        <v>5295.53</v>
      </c>
      <c r="D89" s="3">
        <f>B89-C89</f>
        <v>-392.32</v>
      </c>
    </row>
    <row r="90">
      <c r="A90" s="8" t="inlineStr">
        <is>
          <t xml:space="preserve">TOTAL SPENDING</t>
        </is>
      </c>
      <c r="B90" s="9">
        <f>SUM(B72:B89)</f>
        <v>14654.04</v>
      </c>
      <c r="C90" s="9">
        <f>SUM(C72:C89)</f>
        <v>11938.226667</v>
      </c>
      <c r="D90" s="9">
        <f>B90-C90</f>
        <v>2715.813333</v>
      </c>
    </row>
  </sheetData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6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Not Counted as Spending</t>
        </is>
      </c>
    </row>
    <row r="2">
      <c r="A2" s="14" t="inlineStr">
        <is>
          <t xml:space="preserve">Withdrawals left out of the spending totals at your request. Listed here so every dollar on the bank statements is accounted for.</t>
        </is>
      </c>
    </row>
    <row r="4" ht="18" customHeight="1">
      <c r="A4" s="15" t="inlineStr">
        <is>
          <t xml:space="preserve">Item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Not counted as spending</t>
        </is>
      </c>
    </row>
    <row r="7">
      <c r="A7" s="12" t="inlineStr">
        <is>
          <t xml:space="preserve">WTW Health Premium (reimbursed by Via Benefits)</t>
        </is>
      </c>
      <c r="B7" s="3">
        <f>SUMIFS('All Transactions'!$F$5:$F$436,'All Transactions'!$D$5:$D$436,$A7,'All Transactions'!$A$5:$A$436,B$4)</f>
        <v>2576.0</v>
      </c>
      <c r="C7" s="3">
        <f>SUMIFS('All Transactions'!$F$5:$F$436,'All Transactions'!$D$5:$D$436,$A7,'All Transactions'!$A$5:$A$436,C$4)</f>
        <v>2576.0</v>
      </c>
      <c r="D7" s="3">
        <f>SUMIFS('All Transactions'!$F$5:$F$436,'All Transactions'!$D$5:$D$436,$A7,'All Transactions'!$A$5:$A$436,D$4)</f>
        <v>2576.0</v>
      </c>
      <c r="E7" s="3">
        <f>SUMIFS('All Transactions'!$F$5:$F$436,'All Transactions'!$D$5:$D$436,$A7,'All Transactions'!$A$5:$A$436,E$4)</f>
        <v>2576.0</v>
      </c>
      <c r="F7" s="3">
        <f>SUM(B7:E7)</f>
        <v>10304.0</v>
      </c>
      <c r="G7" s="3">
        <f>F7/4</f>
        <v>2576.0</v>
      </c>
    </row>
    <row r="8">
      <c r="A8" s="12" t="inlineStr">
        <is>
          <t xml:space="preserve">Credit Card Payoff – American Express</t>
        </is>
      </c>
      <c r="B8" s="3">
        <f>SUMIFS('All Transactions'!$F$5:$F$436,'All Transactions'!$D$5:$D$436,$A8,'All Transactions'!$A$5:$A$436,B$4)</f>
        <v>0</v>
      </c>
      <c r="C8" s="3">
        <f>SUMIFS('All Transactions'!$F$5:$F$436,'All Transactions'!$D$5:$D$436,$A8,'All Transactions'!$A$5:$A$436,C$4)</f>
        <v>7227.09</v>
      </c>
      <c r="D8" s="3">
        <f>SUMIFS('All Transactions'!$F$5:$F$436,'All Transactions'!$D$5:$D$436,$A8,'All Transactions'!$A$5:$A$436,D$4)</f>
        <v>4593.08</v>
      </c>
      <c r="E8" s="3">
        <f>SUMIFS('All Transactions'!$F$5:$F$436,'All Transactions'!$D$5:$D$436,$A8,'All Transactions'!$A$5:$A$436,E$4)</f>
        <v>4738.51</v>
      </c>
      <c r="F8" s="3">
        <f>SUM(B8:E8)</f>
        <v>16558.68</v>
      </c>
      <c r="G8" s="3">
        <f>F8/4</f>
        <v>4139.67</v>
      </c>
    </row>
    <row r="9">
      <c r="A9" s="12" t="inlineStr">
        <is>
          <t xml:space="preserve">Sloane Realty</t>
        </is>
      </c>
      <c r="B9" s="3">
        <f>SUMIFS('All Transactions'!$F$5:$F$436,'All Transactions'!$D$5:$D$436,$A9,'All Transactions'!$A$5:$A$436,B$4)</f>
        <v>0</v>
      </c>
      <c r="C9" s="3">
        <f>SUMIFS('All Transactions'!$F$5:$F$436,'All Transactions'!$D$5:$D$436,$A9,'All Transactions'!$A$5:$A$436,C$4)</f>
        <v>2891.98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2891.98</v>
      </c>
      <c r="G9" s="3">
        <f>F9/4</f>
        <v>722.995</v>
      </c>
    </row>
    <row r="10">
      <c r="A10" s="12" t="inlineStr">
        <is>
          <t xml:space="preserve">Dust and Mop House</t>
        </is>
      </c>
      <c r="B10" s="3">
        <f>SUMIFS('All Transactions'!$F$5:$F$436,'All Transactions'!$D$5:$D$436,$A10,'All Transactions'!$A$5:$A$436,B$4)</f>
        <v>0</v>
      </c>
      <c r="C10" s="3">
        <f>SUMIFS('All Transactions'!$F$5:$F$436,'All Transactions'!$D$5:$D$436,$A10,'All Transactions'!$A$5:$A$436,C$4)</f>
        <v>100.0</v>
      </c>
      <c r="D10" s="3">
        <f>SUMIFS('All Transactions'!$F$5:$F$436,'All Transactions'!$D$5:$D$436,$A10,'All Transactions'!$A$5:$A$436,D$4)</f>
        <v>432.6</v>
      </c>
      <c r="E10" s="3">
        <f>SUMIFS('All Transactions'!$F$5:$F$436,'All Transactions'!$D$5:$D$436,$A10,'All Transactions'!$A$5:$A$436,E$4)</f>
        <v>0</v>
      </c>
      <c r="F10" s="3">
        <f>SUM(B10:E10)</f>
        <v>532.6</v>
      </c>
      <c r="G10" s="3">
        <f>F10/4</f>
        <v>133.15</v>
      </c>
    </row>
    <row r="11">
      <c r="A11" s="12" t="inlineStr">
        <is>
          <t xml:space="preserve">Bowery West</t>
        </is>
      </c>
      <c r="B11" s="3">
        <f>SUMIFS('All Transactions'!$F$5:$F$436,'All Transactions'!$D$5:$D$436,$A11,'All Transactions'!$A$5:$A$436,B$4)</f>
        <v>0</v>
      </c>
      <c r="C11" s="3">
        <f>SUMIFS('All Transactions'!$F$5:$F$436,'All Transactions'!$D$5:$D$436,$A11,'All Transactions'!$A$5:$A$436,C$4)</f>
        <v>400.0</v>
      </c>
      <c r="D11" s="3">
        <f>SUMIFS('All Transactions'!$F$5:$F$436,'All Transactions'!$D$5:$D$436,$A11,'All Transactions'!$A$5:$A$436,D$4)</f>
        <v>0</v>
      </c>
      <c r="E11" s="3">
        <f>SUMIFS('All Transactions'!$F$5:$F$436,'All Transactions'!$D$5:$D$436,$A11,'All Transactions'!$A$5:$A$436,E$4)</f>
        <v>0</v>
      </c>
      <c r="F11" s="3">
        <f>SUM(B11:E11)</f>
        <v>400.0</v>
      </c>
      <c r="G11" s="3">
        <f>F11/4</f>
        <v>100.0</v>
      </c>
    </row>
    <row r="12">
      <c r="A12" s="12" t="inlineStr">
        <is>
          <t xml:space="preserve">Checks Written (payee not shown)</t>
        </is>
      </c>
      <c r="B12" s="3">
        <f>SUMIFS('All Transactions'!$F$5:$F$436,'All Transactions'!$D$5:$D$436,$A12,'All Transactions'!$A$5:$A$436,B$4)</f>
        <v>2630.0</v>
      </c>
      <c r="C12" s="3">
        <f>SUMIFS('All Transactions'!$F$5:$F$436,'All Transactions'!$D$5:$D$436,$A12,'All Transactions'!$A$5:$A$436,C$4)</f>
        <v>0</v>
      </c>
      <c r="D12" s="3">
        <f>SUMIFS('All Transactions'!$F$5:$F$436,'All Transactions'!$D$5:$D$436,$A12,'All Transactions'!$A$5:$A$436,D$4)</f>
        <v>728.0</v>
      </c>
      <c r="E12" s="3">
        <f>SUMIFS('All Transactions'!$F$5:$F$436,'All Transactions'!$D$5:$D$436,$A12,'All Transactions'!$A$5:$A$436,E$4)</f>
        <v>0</v>
      </c>
      <c r="F12" s="3">
        <f>SUM(B12:E12)</f>
        <v>3358.0</v>
      </c>
      <c r="G12" s="3">
        <f>F12/4</f>
        <v>839.5</v>
      </c>
    </row>
    <row r="13">
      <c r="A13" s="12" t="inlineStr">
        <is>
          <t xml:space="preserve">Transfer to Own WF Account</t>
        </is>
      </c>
      <c r="B13" s="3">
        <f>SUMIFS('All Transactions'!$F$5:$F$436,'All Transactions'!$D$5:$D$436,$A13,'All Transactions'!$A$5:$A$436,B$4)</f>
        <v>0</v>
      </c>
      <c r="C13" s="3">
        <f>SUMIFS('All Transactions'!$F$5:$F$436,'All Transactions'!$D$5:$D$436,$A13,'All Transactions'!$A$5:$A$436,C$4)</f>
        <v>3.26</v>
      </c>
      <c r="D13" s="3">
        <f>SUMIFS('All Transactions'!$F$5:$F$436,'All Transactions'!$D$5:$D$436,$A13,'All Transactions'!$A$5:$A$436,D$4)</f>
        <v>0</v>
      </c>
      <c r="E13" s="3">
        <f>SUMIFS('All Transactions'!$F$5:$F$436,'All Transactions'!$D$5:$D$436,$A13,'All Transactions'!$A$5:$A$436,E$4)</f>
        <v>0</v>
      </c>
      <c r="F13" s="3">
        <f>SUM(B13:E13)</f>
        <v>3.26</v>
      </c>
      <c r="G13" s="3">
        <f>F13/4</f>
        <v>0.815</v>
      </c>
    </row>
    <row r="14">
      <c r="A14" s="7" t="inlineStr">
        <is>
          <t xml:space="preserve">Total not counted as spending</t>
        </is>
      </c>
      <c r="B14" s="6">
        <f>SUM(B7:B13)</f>
        <v>5206.0</v>
      </c>
      <c r="C14" s="6">
        <f>SUM(C7:C13)</f>
        <v>13198.33</v>
      </c>
      <c r="D14" s="6">
        <f>SUM(D7:D13)</f>
        <v>8329.68</v>
      </c>
      <c r="E14" s="6">
        <f>SUM(E7:E13)</f>
        <v>7314.51</v>
      </c>
      <c r="F14" s="6">
        <f>SUM(F7:F13)</f>
        <v>34048.52</v>
      </c>
      <c r="G14" s="6">
        <f>F14/4</f>
        <v>8512.13</v>
      </c>
    </row>
    <row r="16">
      <c r="A16" s="5" t="inlineStr">
        <is>
          <t xml:space="preserve">Reconciliation to bank statements</t>
        </is>
      </c>
    </row>
    <row r="17">
      <c r="A17" s="12" t="inlineStr">
        <is>
          <t xml:space="preserve">Total spending (from Monthly Summary)</t>
        </is>
      </c>
      <c r="B17" s="3">
        <f>'Monthly Summary'!B120</f>
        <v>12135.81</v>
      </c>
      <c r="C17" s="3">
        <f>'Monthly Summary'!C120</f>
        <v>12163.24</v>
      </c>
      <c r="D17" s="3">
        <f>'Monthly Summary'!D120</f>
        <v>14654.04</v>
      </c>
      <c r="E17" s="3">
        <f>'Monthly Summary'!E120</f>
        <v>11515.63</v>
      </c>
      <c r="F17" s="3">
        <f>'Monthly Summary'!F120</f>
        <v>50468.72</v>
      </c>
    </row>
    <row r="18">
      <c r="A18" s="12" t="inlineStr">
        <is>
          <t xml:space="preserve">Plus: not counted as spending</t>
        </is>
      </c>
      <c r="B18" s="3">
        <f>B14</f>
        <v>5206.0</v>
      </c>
      <c r="C18" s="3">
        <f>C14</f>
        <v>13198.33</v>
      </c>
      <c r="D18" s="3">
        <f>D14</f>
        <v>8329.68</v>
      </c>
      <c r="E18" s="3">
        <f>E14</f>
        <v>7314.51</v>
      </c>
      <c r="F18" s="3">
        <f>F14</f>
        <v>34048.52</v>
      </c>
    </row>
    <row r="19">
      <c r="A19" s="7" t="inlineStr">
        <is>
          <t xml:space="preserve">Total withdrawals</t>
        </is>
      </c>
      <c r="B19" s="6">
        <f>B17+B18</f>
        <v>17341.81</v>
      </c>
      <c r="C19" s="6">
        <f>C17+C18</f>
        <v>25361.57</v>
      </c>
      <c r="D19" s="6">
        <f>D17+D18</f>
        <v>22983.72</v>
      </c>
      <c r="E19" s="6">
        <f>E17+E18</f>
        <v>18830.14</v>
      </c>
      <c r="F19" s="6">
        <f>F17+F18</f>
        <v>84517.24</v>
      </c>
    </row>
    <row r="20">
      <c r="A20" s="12" t="inlineStr">
        <is>
          <t xml:space="preserve">Withdrawals/Subtractions per bank statement</t>
        </is>
      </c>
      <c r="B20" s="13">
        <v>17341.81</v>
      </c>
      <c r="C20" s="13">
        <v>25361.57</v>
      </c>
      <c r="D20" s="13">
        <v>22983.72</v>
      </c>
      <c r="E20" s="13">
        <v>18830.14</v>
      </c>
      <c r="F20" s="3">
        <f>SUM(B20:E20)</f>
        <v>84517.24</v>
      </c>
    </row>
    <row r="21">
      <c r="A21" s="12" t="inlineStr">
        <is>
          <t xml:space="preserve">Difference (should be $0)</t>
        </is>
      </c>
      <c r="B21" s="3">
        <f>B19-B20</f>
        <v>0.0</v>
      </c>
      <c r="C21" s="3">
        <f>C19-C20</f>
        <v>0.0</v>
      </c>
      <c r="D21" s="3">
        <f>D19-D20</f>
        <v>0.0</v>
      </c>
      <c r="E21" s="3">
        <f>E19-E20</f>
        <v>0.0</v>
      </c>
      <c r="F21" s="3">
        <f>F19-F20</f>
        <v>0.0</v>
      </c>
    </row>
    <row r="24">
      <c r="A24" s="5" t="inlineStr">
        <is>
          <t xml:space="preserve">Every excluded transaction</t>
        </is>
      </c>
    </row>
    <row r="25">
      <c r="A25" s="15" t="inlineStr">
        <is>
          <t xml:space="preserve">Description</t>
        </is>
      </c>
      <c r="B25" s="1" t="inlineStr">
        <is>
          <t xml:space="preserve">Date</t>
        </is>
      </c>
      <c r="C25" s="1" t="inlineStr">
        <is>
          <t xml:space="preserve">Month</t>
        </is>
      </c>
      <c r="D25" s="1" t="inlineStr">
        <is>
          <t xml:space="preserve">Amount</t>
        </is>
      </c>
    </row>
    <row r="26">
      <c r="A26" s="12" t="inlineStr">
        <is>
          <t xml:space="preserve">Bowery West: Rps*Bowery West CD</t>
        </is>
      </c>
      <c r="B26" s="4">
        <v>46224</v>
      </c>
      <c r="C26" s="2" t="inlineStr">
        <is>
          <t xml:space="preserve">July 2026</t>
        </is>
      </c>
      <c r="D26" s="3">
        <v>75.0</v>
      </c>
    </row>
    <row r="27">
      <c r="A27" s="12" t="inlineStr">
        <is>
          <t xml:space="preserve">Bowery West: Rps*Bowery West CD</t>
        </is>
      </c>
      <c r="B27" s="4">
        <v>46224</v>
      </c>
      <c r="C27" s="2" t="inlineStr">
        <is>
          <t xml:space="preserve">July 2026</t>
        </is>
      </c>
      <c r="D27" s="3">
        <v>125.0</v>
      </c>
    </row>
    <row r="28">
      <c r="A28" s="12" t="inlineStr">
        <is>
          <t xml:space="preserve">Bowery West: Rps*Bowery West CD</t>
        </is>
      </c>
      <c r="B28" s="4">
        <v>46224</v>
      </c>
      <c r="C28" s="2" t="inlineStr">
        <is>
          <t xml:space="preserve">July 2026</t>
        </is>
      </c>
      <c r="D28" s="3">
        <v>75.0</v>
      </c>
    </row>
    <row r="29">
      <c r="A29" s="12" t="inlineStr">
        <is>
          <t xml:space="preserve">Bowery West: Rps*Bowery West CD</t>
        </is>
      </c>
      <c r="B29" s="4">
        <v>46224</v>
      </c>
      <c r="C29" s="2" t="inlineStr">
        <is>
          <t xml:space="preserve">July 2026</t>
        </is>
      </c>
      <c r="D29" s="3">
        <v>125.0</v>
      </c>
    </row>
    <row r="30">
      <c r="A30" s="12" t="inlineStr">
        <is>
          <t xml:space="preserve">Checks Written (payee not shown): Check #520</t>
        </is>
      </c>
      <c r="B30" s="4">
        <v>46174</v>
      </c>
      <c r="C30" s="2" t="inlineStr">
        <is>
          <t xml:space="preserve">June 2026</t>
        </is>
      </c>
      <c r="D30" s="3">
        <v>1800.0</v>
      </c>
    </row>
    <row r="31">
      <c r="A31" s="12" t="inlineStr">
        <is>
          <t xml:space="preserve">Checks Written (payee not shown): Check #101</t>
        </is>
      </c>
      <c r="B31" s="4">
        <v>46178</v>
      </c>
      <c r="C31" s="2" t="inlineStr">
        <is>
          <t xml:space="preserve">June 2026</t>
        </is>
      </c>
      <c r="D31" s="3">
        <v>830.0</v>
      </c>
    </row>
    <row r="32">
      <c r="A32" s="12" t="inlineStr">
        <is>
          <t xml:space="preserve">Checks Written (payee not shown): Check #102</t>
        </is>
      </c>
      <c r="B32" s="4">
        <v>46239</v>
      </c>
      <c r="C32" s="2" t="inlineStr">
        <is>
          <t xml:space="preserve">August 2026</t>
        </is>
      </c>
      <c r="D32" s="3">
        <v>378.0</v>
      </c>
    </row>
    <row r="33">
      <c r="A33" s="12" t="inlineStr">
        <is>
          <t xml:space="preserve">Checks Written (payee not shown): Check #518</t>
        </is>
      </c>
      <c r="B33" s="4">
        <v>46245</v>
      </c>
      <c r="C33" s="2" t="inlineStr">
        <is>
          <t xml:space="preserve">August 2026</t>
        </is>
      </c>
      <c r="D33" s="3">
        <v>150.0</v>
      </c>
    </row>
    <row r="34">
      <c r="A34" s="12" t="inlineStr">
        <is>
          <t xml:space="preserve">Checks Written (payee not shown): Check #103</t>
        </is>
      </c>
      <c r="B34" s="4">
        <v>46252</v>
      </c>
      <c r="C34" s="2" t="inlineStr">
        <is>
          <t xml:space="preserve">August 2026</t>
        </is>
      </c>
      <c r="D34" s="3">
        <v>200.0</v>
      </c>
    </row>
    <row r="35">
      <c r="A35" s="12" t="inlineStr">
        <is>
          <t xml:space="preserve">Credit Card Payoff – American Express: American Express ACH Pmt W8716</t>
        </is>
      </c>
      <c r="B35" s="4">
        <v>46199</v>
      </c>
      <c r="C35" s="2" t="inlineStr">
        <is>
          <t xml:space="preserve">July 2026</t>
        </is>
      </c>
      <c r="D35" s="3">
        <v>226.19</v>
      </c>
    </row>
    <row r="36">
      <c r="A36" s="12" t="inlineStr">
        <is>
          <t xml:space="preserve">Credit Card Payoff – American Express: American Express ACH Pmt W8252</t>
        </is>
      </c>
      <c r="B36" s="4">
        <v>46199</v>
      </c>
      <c r="C36" s="2" t="inlineStr">
        <is>
          <t xml:space="preserve">July 2026</t>
        </is>
      </c>
      <c r="D36" s="3">
        <v>4000.9</v>
      </c>
    </row>
    <row r="37">
      <c r="A37" s="12" t="inlineStr">
        <is>
          <t xml:space="preserve">Credit Card Payoff – American Express: American Express ACH Pmt W9322</t>
        </is>
      </c>
      <c r="B37" s="4">
        <v>46209</v>
      </c>
      <c r="C37" s="2" t="inlineStr">
        <is>
          <t xml:space="preserve">July 2026</t>
        </is>
      </c>
      <c r="D37" s="3">
        <v>2000.0</v>
      </c>
    </row>
    <row r="38">
      <c r="A38" s="12" t="inlineStr">
        <is>
          <t xml:space="preserve">Credit Card Payoff – American Express: American Express ACH Pmt W3522</t>
        </is>
      </c>
      <c r="B38" s="4">
        <v>46220</v>
      </c>
      <c r="C38" s="2" t="inlineStr">
        <is>
          <t xml:space="preserve">July 2026</t>
        </is>
      </c>
      <c r="D38" s="3">
        <v>1000.0</v>
      </c>
    </row>
    <row r="39">
      <c r="A39" s="12" t="inlineStr">
        <is>
          <t xml:space="preserve">Credit Card Payoff – American Express: American Express ACH Pmt W9082</t>
        </is>
      </c>
      <c r="B39" s="4">
        <v>46230</v>
      </c>
      <c r="C39" s="2" t="inlineStr">
        <is>
          <t xml:space="preserve">August 2026</t>
        </is>
      </c>
      <c r="D39" s="3">
        <v>3929.91</v>
      </c>
    </row>
    <row r="40">
      <c r="A40" s="12" t="inlineStr">
        <is>
          <t xml:space="preserve">Credit Card Payoff – American Express: American Express ACH Pmt W6914</t>
        </is>
      </c>
      <c r="B40" s="4">
        <v>46253</v>
      </c>
      <c r="C40" s="2" t="inlineStr">
        <is>
          <t xml:space="preserve">August 2026</t>
        </is>
      </c>
      <c r="D40" s="3">
        <v>663.17</v>
      </c>
    </row>
    <row r="41">
      <c r="A41" s="12" t="inlineStr">
        <is>
          <t xml:space="preserve">Credit Card Payoff – American Express: American Express ACH Pmt W0072</t>
        </is>
      </c>
      <c r="B41" s="4">
        <v>46286</v>
      </c>
      <c r="C41" s="2" t="inlineStr">
        <is>
          <t xml:space="preserve">September 2026</t>
        </is>
      </c>
      <c r="D41" s="3">
        <v>4738.51</v>
      </c>
    </row>
    <row r="42">
      <c r="A42" s="12" t="inlineStr">
        <is>
          <t xml:space="preserve">Dust and Mop House: Dust and Mop House</t>
        </is>
      </c>
      <c r="B42" s="4">
        <v>46226</v>
      </c>
      <c r="C42" s="2" t="inlineStr">
        <is>
          <t xml:space="preserve">July 2026</t>
        </is>
      </c>
      <c r="D42" s="3">
        <v>100.0</v>
      </c>
    </row>
    <row r="43">
      <c r="A43" s="12" t="inlineStr">
        <is>
          <t xml:space="preserve">Dust and Mop House: Dust and Mop House</t>
        </is>
      </c>
      <c r="B43" s="4">
        <v>46239</v>
      </c>
      <c r="C43" s="2" t="inlineStr">
        <is>
          <t xml:space="preserve">August 2026</t>
        </is>
      </c>
      <c r="D43" s="3">
        <v>432.6</v>
      </c>
    </row>
    <row r="44">
      <c r="A44" s="12" t="inlineStr">
        <is>
          <t xml:space="preserve">Sloane Realty: Vtg*Sloane Realty 910-5796216</t>
        </is>
      </c>
      <c r="B44" s="4">
        <v>46225</v>
      </c>
      <c r="C44" s="2" t="inlineStr">
        <is>
          <t xml:space="preserve">July 2026</t>
        </is>
      </c>
      <c r="D44" s="3">
        <v>2891.98</v>
      </c>
    </row>
    <row r="45">
      <c r="A45" s="12" t="inlineStr">
        <is>
          <t xml:space="preserve">Transfer to Own WF Account: Online Transfer to Dempsey M Wells Fargo Clear Access</t>
        </is>
      </c>
      <c r="B45" s="4">
        <v>46199</v>
      </c>
      <c r="C45" s="2" t="inlineStr">
        <is>
          <t xml:space="preserve">July 2026</t>
        </is>
      </c>
      <c r="D45" s="3">
        <v>3.26</v>
      </c>
    </row>
    <row r="46">
      <c r="A46" s="12" t="inlineStr">
        <is>
          <t xml:space="preserve">WTW Health Premium (reimbursed by Via Benefits): Wtw Ccc Tccc 2026Jun</t>
        </is>
      </c>
      <c r="B46" s="4">
        <v>46181</v>
      </c>
      <c r="C46" s="2" t="inlineStr">
        <is>
          <t xml:space="preserve">June 2026</t>
        </is>
      </c>
      <c r="D46" s="3">
        <v>2576.0</v>
      </c>
    </row>
    <row r="47">
      <c r="A47" s="12" t="inlineStr">
        <is>
          <t xml:space="preserve">WTW Health Premium (reimbursed by Via Benefits): Wtw Ccc Tccc 2026Jul</t>
        </is>
      </c>
      <c r="B47" s="4">
        <v>46210</v>
      </c>
      <c r="C47" s="2" t="inlineStr">
        <is>
          <t xml:space="preserve">July 2026</t>
        </is>
      </c>
      <c r="D47" s="3">
        <v>2576.0</v>
      </c>
    </row>
    <row r="48">
      <c r="A48" s="12" t="inlineStr">
        <is>
          <t xml:space="preserve">WTW Health Premium (reimbursed by Via Benefits): Wtw Ccc Tccc 2026Aug</t>
        </is>
      </c>
      <c r="B48" s="4">
        <v>46240</v>
      </c>
      <c r="C48" s="2" t="inlineStr">
        <is>
          <t xml:space="preserve">August 2026</t>
        </is>
      </c>
      <c r="D48" s="3">
        <v>2576.0</v>
      </c>
    </row>
    <row r="49">
      <c r="A49" s="12" t="inlineStr">
        <is>
          <t xml:space="preserve">WTW Health Premium (reimbursed by Via Benefits): Wtw Ccc Tccc 2026SEP</t>
        </is>
      </c>
      <c r="B49" s="4">
        <v>46274</v>
      </c>
      <c r="C49" s="2" t="inlineStr">
        <is>
          <t xml:space="preserve">September 2026</t>
        </is>
      </c>
      <c r="D49" s="3">
        <v>2576.0</v>
      </c>
    </row>
    <row r="50">
      <c r="A50" s="8" t="inlineStr">
        <is>
          <t xml:space="preserve">Total</t>
        </is>
      </c>
      <c r="B50" s="8"/>
      <c r="C50" s="8"/>
      <c r="D50" s="9">
        <f>SUM(D26:D49)</f>
        <v>34048.52</v>
      </c>
    </row>
  </sheetData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CVS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Student Loan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CVS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CVS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909.94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Allstate Insurance</t>
        </is>
      </c>
      <c r="H11" s="3">
        <f>SUMIF($C$4:$C$127,G11,$E$4:$E$127)</f>
        <v>360.42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Grocery – Food Lion</t>
        </is>
      </c>
      <c r="H12" s="3">
        <f>SUMIF($C$4:$C$127,G12,$E$4:$E$127)</f>
        <v>336.67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Utility – Electric (BEMC)</t>
        </is>
      </c>
      <c r="H13" s="3">
        <f>SUMIF($C$4:$C$127,G13,$E$4:$E$127)</f>
        <v>336.35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Grocery – Publix</t>
        </is>
      </c>
      <c r="H14" s="3">
        <f>SUMIF($C$4:$C$127,G14,$E$4:$E$127)</f>
        <v>331.43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Verizon Wireless</t>
        </is>
      </c>
      <c r="H15" s="3">
        <f>SUMIF($C$4:$C$127,G15,$E$4:$E$127)</f>
        <v>294.8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Gas &amp; Convenience Stores</t>
        </is>
      </c>
      <c r="H16" s="3">
        <f>SUMIF($C$4:$C$127,G16,$E$4:$E$127)</f>
        <v>277.87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Software &amp; Online Subscriptions</t>
        </is>
      </c>
      <c r="H17" s="3">
        <f>SUMIF($C$4:$C$127,G17,$E$4:$E$127)</f>
        <v>161.05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Student Loan (Dept of Education)</t>
        </is>
      </c>
      <c r="H18" s="3">
        <f>SUMIF($C$4:$C$127,G18,$E$4:$E$127)</f>
        <v>160.37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Home Services (Pest Control, Lawn Treatment)</t>
        </is>
      </c>
      <c r="H19" s="3">
        <f>SUMIF($C$4:$C$127,G19,$E$4:$E$127)</f>
        <v>142.05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Retail – Walmart</t>
        </is>
      </c>
      <c r="H20" s="3">
        <f>SUMIF($C$4:$C$127,G20,$E$4:$E$127)</f>
        <v>132.66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CVS Pharmacy</t>
        </is>
      </c>
      <c r="H21" s="3">
        <f>SUMIF($C$4:$C$127,G21,$E$4:$E$127)</f>
        <v>100.93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Streaming – YouTube TV (Google)</t>
        </is>
      </c>
      <c r="H22" s="3">
        <f>SUMIF($C$4:$C$127,G22,$E$4:$E$127)</f>
        <v>100.78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Yard Company (NextGen)</t>
        </is>
      </c>
      <c r="H23" s="3">
        <f>SUMIF($C$4:$C$127,G23,$E$4:$E$127)</f>
        <v>100.0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Life Insurance (Lincoln National)</t>
        </is>
      </c>
      <c r="H24" s="3">
        <f>SUMIF($C$4:$C$127,G24,$E$4:$E$127)</f>
        <v>73.61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Dental Insurance – Delta Dental</t>
        </is>
      </c>
      <c r="H25" s="3">
        <f>SUMIF($C$4:$C$127,G25,$E$4:$E$127)</f>
        <v>69.36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Retail – Dick's Sporting Goods</t>
        </is>
      </c>
      <c r="H26" s="3">
        <f>SUMIF($C$4:$C$127,G26,$E$4:$E$127)</f>
        <v>63.61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St. James Marina</t>
        </is>
      </c>
      <c r="H27" s="3">
        <f>SUMIF($C$4:$C$127,G27,$E$4:$E$127)</f>
        <v>33.54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Medical – Granville Medical Center (Oxford)</t>
        </is>
      </c>
      <c r="H28" s="3">
        <f>SUMIF($C$4:$C$127,G28,$E$4:$E$127)</f>
        <v>25.16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Frndly TV</t>
        </is>
      </c>
      <c r="H29" s="3">
        <f>SUMIF($C$4:$C$127,G29,$E$4:$E$127)</f>
        <v>22.41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Disney (via Roku)</t>
        </is>
      </c>
      <c r="H30" s="3">
        <f>SUMIF($C$4:$C$127,G30,$E$4:$E$127)</f>
        <v>20.27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CVS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HBO Max</t>
        </is>
      </c>
      <c r="H31" s="3">
        <f>SUMIF($C$4:$C$127,G31,$E$4:$E$127)</f>
        <v>19.74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ESPN (Sept billed as Disney Plus)</t>
        </is>
      </c>
      <c r="H32" s="3">
        <f>SUMIF($C$4:$C$127,G32,$E$4:$E$127)</f>
        <v>13.87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Medical – Granville Medical Center (Oxford)</t>
        </is>
      </c>
      <c r="D33" s="2" t="inlineStr">
        <is>
          <t xml:space="preserve">Health</t>
        </is>
      </c>
      <c r="E33" s="3">
        <v>10.1</v>
      </c>
      <c r="G33" s="2" t="inlineStr">
        <is>
          <t xml:space="preserve">Streaming – Hulu</t>
        </is>
      </c>
      <c r="H33" s="3">
        <f>SUMIF($C$4:$C$127,G33,$E$4:$E$127)</f>
        <v>12.8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Peacock (via Roku)</t>
        </is>
      </c>
      <c r="H34" s="3">
        <f>SUMIF($C$4:$C$127,G34,$E$4:$E$127)</f>
        <v>11.73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Retail – Dollar Tree / Dollar General</t>
        </is>
      </c>
      <c r="H35" s="3">
        <f>SUMIF($C$4:$C$127,G35,$E$4:$E$127)</f>
        <v>5.87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Medical – Granville Medical Center (Oxford)</t>
        </is>
      </c>
      <c r="D36" s="2" t="inlineStr">
        <is>
          <t xml:space="preserve">Health</t>
        </is>
      </c>
      <c r="E36" s="3">
        <v>8.85</v>
      </c>
      <c r="G36" s="8" t="inlineStr">
        <is>
          <t xml:space="preserve">Total spending</t>
        </is>
      </c>
      <c r="H36" s="9">
        <f>SUM(H4:H35)</f>
        <v>12163.24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7" t="inlineStr">
        <is>
          <t xml:space="preserve">Not counted as spending</t>
        </is>
      </c>
      <c r="H38" s="7"/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Bowery West</t>
        </is>
      </c>
      <c r="H39" s="3">
        <f>SUMIF($C$4:$C$127,G39,$E$4:$E$127)</f>
        <v>400.0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Credit Card Payoff – American Express</t>
        </is>
      </c>
      <c r="H40" s="3">
        <f>SUMIF($C$4:$C$127,G40,$E$4:$E$127)</f>
        <v>7227.09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Dust and Mop House</t>
        </is>
      </c>
      <c r="H41" s="3">
        <f>SUMIF($C$4:$C$127,G41,$E$4:$E$127)</f>
        <v>100.0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Medical – Granville Medical Center (Oxford)</t>
        </is>
      </c>
      <c r="D42" s="2" t="inlineStr">
        <is>
          <t xml:space="preserve">Health</t>
        </is>
      </c>
      <c r="E42" s="3">
        <v>6.21</v>
      </c>
      <c r="G42" s="2" t="inlineStr">
        <is>
          <t xml:space="preserve">Sloane Realty</t>
        </is>
      </c>
      <c r="H42" s="3">
        <f>SUMIF($C$4:$C$127,G42,$E$4:$E$127)</f>
        <v>2891.98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  <c r="G43" s="2" t="inlineStr">
        <is>
          <t xml:space="preserve">Transfer to Own WF Account</t>
        </is>
      </c>
      <c r="H43" s="3">
        <f>SUMIF($C$4:$C$127,G43,$E$4:$E$127)</f>
        <v>3.26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  <c r="G44" s="2" t="inlineStr">
        <is>
          <t xml:space="preserve">WTW Health Premium (reimbursed by Via Benefits)</t>
        </is>
      </c>
      <c r="H44" s="3">
        <f>SUMIF($C$4:$C$127,G44,$E$4:$E$127)</f>
        <v>2576.0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CVS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(Pest Control, Lawn Treatment)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CVS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Bowery West</t>
        </is>
      </c>
      <c r="D111" s="2" t="inlineStr">
        <is>
          <t xml:space="preserve">Excluded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Bowery West</t>
        </is>
      </c>
      <c r="D112" s="2" t="inlineStr">
        <is>
          <t xml:space="preserve">Excluded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Bowery West</t>
        </is>
      </c>
      <c r="D113" s="2" t="inlineStr">
        <is>
          <t xml:space="preserve">Excluded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Bowery West</t>
        </is>
      </c>
      <c r="D114" s="2" t="inlineStr">
        <is>
          <t xml:space="preserve">Excluded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Dust and Mop House</t>
        </is>
      </c>
      <c r="D126" s="2" t="inlineStr">
        <is>
          <t xml:space="preserve">Excluded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12163.24</v>
      </c>
    </row>
    <row r="129">
      <c r="D129" s="7" t="inlineStr">
        <is>
          <t xml:space="preserve">Not counted (Excluded)</t>
        </is>
      </c>
      <c r="E129" s="6">
        <f>SUMIF(D4:D127,"Excluded",E4:E127)</f>
        <v>13198.33</v>
      </c>
    </row>
  </sheetData>
  <autoFilter ref="A3:E127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Banner Life Insurance</t>
        </is>
      </c>
      <c r="H8" s="3">
        <f>SUMIF($C$4:$C$110,G8,$E$4:$E$110)</f>
        <v>710.06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Grocery – Lowes Foods</t>
        </is>
      </c>
      <c r="H9" s="3">
        <f>SUMIF($C$4:$C$110,G9,$E$4:$E$110)</f>
        <v>584.25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Publix</t>
        </is>
      </c>
      <c r="H10" s="3">
        <f>SUMIF($C$4:$C$110,G10,$E$4:$E$110)</f>
        <v>522.68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Allstate Insurance</t>
        </is>
      </c>
      <c r="H11" s="3">
        <f>SUMIF($C$4:$C$110,G11,$E$4:$E$110)</f>
        <v>475.42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Medical – Dosher Hospital (Southport)</t>
        </is>
      </c>
      <c r="H12" s="3">
        <f>SUMIF($C$4:$C$110,G12,$E$4:$E$110)</f>
        <v>467.66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Verizon Wireless</t>
        </is>
      </c>
      <c r="H13" s="3">
        <f>SUMIF($C$4:$C$110,G13,$E$4:$E$110)</f>
        <v>436.02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Health Insurance – Blue Cross NC</t>
        </is>
      </c>
      <c r="H14" s="3">
        <f>SUMIF($C$4:$C$110,G14,$E$4:$E$110)</f>
        <v>432.5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Utility – Electric (BEMC)</t>
        </is>
      </c>
      <c r="H15" s="3">
        <f>SUMIF($C$4:$C$110,G15,$E$4:$E$110)</f>
        <v>406.96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CVS Pharmacy</t>
        </is>
      </c>
      <c r="H16" s="3">
        <f>SUMIF($C$4:$C$110,G16,$E$4:$E$110)</f>
        <v>383.24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– Dosher Hospital (Southport)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Haircuts – The Color Bar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(Pest Control, Lawn Treatment)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Home Services (Pest Control, Lawn Treatment)</t>
        </is>
      </c>
      <c r="H27" s="3">
        <f>SUMIF($C$4:$C$110,G27,$E$4:$E$110)</f>
        <v>104.0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Streaming – YouTube TV (Google)</t>
        </is>
      </c>
      <c r="H28" s="3">
        <f>SUMIF($C$4:$C$110,G28,$E$4:$E$110)</f>
        <v>89.0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Retail – HomeSense</t>
        </is>
      </c>
      <c r="H29" s="3">
        <f>SUMIF($C$4:$C$110,G29,$E$4:$E$110)</f>
        <v>88.7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Grocery – Food Lion</t>
        </is>
      </c>
      <c r="H30" s="3">
        <f>SUMIF($C$4:$C$110,G30,$E$4:$E$110)</f>
        <v>77.34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Life Insurance (Lincoln National)</t>
        </is>
      </c>
      <c r="H31" s="3">
        <f>SUMIF($C$4:$C$110,G31,$E$4:$E$110)</f>
        <v>73.61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Dental Insurance – Delta Dental</t>
        </is>
      </c>
      <c r="H32" s="3">
        <f>SUMIF($C$4:$C$110,G32,$E$4:$E$110)</f>
        <v>69.36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Software &amp; Online Subscriptions</t>
        </is>
      </c>
      <c r="H33" s="3">
        <f>SUMIF($C$4:$C$110,G33,$E$4:$E$110)</f>
        <v>65.98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Retail – Tractor Supply</t>
        </is>
      </c>
      <c r="H34" s="3">
        <f>SUMIF($C$4:$C$110,G34,$E$4:$E$110)</f>
        <v>29.86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Frndly TV</t>
        </is>
      </c>
      <c r="H35" s="3">
        <f>SUMIF($C$4:$C$110,G35,$E$4:$E$110)</f>
        <v>22.41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CVS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Disney (via Roku)</t>
        </is>
      </c>
      <c r="H36" s="3">
        <f>SUMIF($C$4:$C$110,G36,$E$4:$E$110)</f>
        <v>20.27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Tolls &amp; Parking</t>
        </is>
      </c>
      <c r="H37" s="3">
        <f>SUMIF($C$4:$C$110,G37,$E$4:$E$110)</f>
        <v>18.44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Retail – Dollar Tree / Dollar General</t>
        </is>
      </c>
      <c r="H38" s="3">
        <f>SUMIF($C$4:$C$110,G38,$E$4:$E$110)</f>
        <v>17.35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Streaming – ESPN (Sept billed as Disney Plus)</t>
        </is>
      </c>
      <c r="H39" s="3">
        <f>SUMIF($C$4:$C$110,G39,$E$4:$E$110)</f>
        <v>13.87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Entertainment (Surf Cinema)</t>
        </is>
      </c>
      <c r="H40" s="3">
        <f>SUMIF($C$4:$C$110,G40,$E$4:$E$110)</f>
        <v>13.5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Streaming – Hulu</t>
        </is>
      </c>
      <c r="H41" s="3">
        <f>SUMIF($C$4:$C$110,G41,$E$4:$E$110)</f>
        <v>12.8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Other Food Stores (Harris Teeter, Beach Pantry)</t>
        </is>
      </c>
      <c r="H42" s="3">
        <f>SUMIF($C$4:$C$110,G42,$E$4:$E$110)</f>
        <v>5.85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  <c r="G43" s="8" t="inlineStr">
        <is>
          <t xml:space="preserve">Total spending</t>
        </is>
      </c>
      <c r="H43" s="9">
        <f>SUM(H4:H42)</f>
        <v>14654.04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7" t="inlineStr">
        <is>
          <t xml:space="preserve">Not counted as spending</t>
        </is>
      </c>
      <c r="H45" s="7"/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Checks Written (payee not shown)</t>
        </is>
      </c>
      <c r="H46" s="3">
        <f>SUMIF($C$4:$C$110,G46,$E$4:$E$110)</f>
        <v>728.0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Credit Card Payoff – American Express</t>
        </is>
      </c>
      <c r="H47" s="3">
        <f>SUMIF($C$4:$C$110,G47,$E$4:$E$110)</f>
        <v>4593.08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  <c r="G48" s="2" t="inlineStr">
        <is>
          <t xml:space="preserve">Dust and Mop House</t>
        </is>
      </c>
      <c r="H48" s="3">
        <f>SUMIF($C$4:$C$110,G48,$E$4:$E$110)</f>
        <v>432.6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  <c r="G49" s="2" t="inlineStr">
        <is>
          <t xml:space="preserve">WTW Health Premium (reimbursed by Via Benefits)</t>
        </is>
      </c>
      <c r="H49" s="3">
        <f>SUMIF($C$4:$C$110,G49,$E$4:$E$110)</f>
        <v>2576.0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Dust and Mop House</t>
        </is>
      </c>
      <c r="D55" s="2" t="inlineStr">
        <is>
          <t xml:space="preserve">Excluded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CVS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(Surf Cinema)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– Dosher Hospital (Southport)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CVS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14654.04</v>
      </c>
    </row>
    <row r="112">
      <c r="D112" s="7" t="inlineStr">
        <is>
          <t xml:space="preserve">Not counted (Excluded)</t>
        </is>
      </c>
      <c r="E112" s="6">
        <f>SUMIF(D4:D110,"Excluded",E4:E110)</f>
        <v>8329.68</v>
      </c>
    </row>
  </sheetData>
  <autoFilter ref="A3:E110"/>
  <pageMargins left="0.5" right="0.5" top="0.6" bottom="0.6" header="0.3" footer="0.3"/>
  <pageSetup orientation="landscape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839.3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– Wilmington Eye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Cash (ATM) &amp; Bank Fees</t>
        </is>
      </c>
      <c r="H17" s="3">
        <f>SUMIF($C$4:$C$88,G17,$E$4:$E$88)</f>
        <v>147.0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Streaming – YouTube TV (Google)</t>
        </is>
      </c>
      <c r="H18" s="3">
        <f>SUMIF($C$4:$C$88,G18,$E$4:$E$88)</f>
        <v>132.43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Transfers to People (Venmo/Zelle)</t>
        </is>
      </c>
      <c r="H19" s="3">
        <f>SUMIF($C$4:$C$88,G19,$E$4:$E$88)</f>
        <v>130.0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Yard Company (NextGen)</t>
        </is>
      </c>
      <c r="H20" s="3">
        <f>SUMIF($C$4:$C$88,G20,$E$4:$E$88)</f>
        <v>120.0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Retail – Local shops (Hippie Chick, Southport Spices, Mad River, Coastal Carolina)</t>
        </is>
      </c>
      <c r="H21" s="3">
        <f>SUMIF($C$4:$C$88,G21,$E$4:$E$88)</f>
        <v>119.97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Medical – Dosher Hospital (Southport)</t>
        </is>
      </c>
      <c r="H22" s="3">
        <f>SUMIF($C$4:$C$88,G22,$E$4:$E$88)</f>
        <v>100.28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Tolls &amp; Parking</t>
        </is>
      </c>
      <c r="H29" s="3">
        <f>SUMIF($C$4:$C$88,G29,$E$4:$E$88)</f>
        <v>68.24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Medical – Wilmington Eye</t>
        </is>
      </c>
      <c r="H30" s="3">
        <f>SUMIF($C$4:$C$88,G30,$E$4:$E$88)</f>
        <v>60.0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Marshalls</t>
        </is>
      </c>
      <c r="H31" s="3">
        <f>SUMIF($C$4:$C$88,G31,$E$4:$E$88)</f>
        <v>41.59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Hobby Lobby</t>
        </is>
      </c>
      <c r="H32" s="3">
        <f>SUMIF($C$4:$C$88,G32,$E$4:$E$88)</f>
        <v>37.33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Retail – Walmart</t>
        </is>
      </c>
      <c r="H33" s="3">
        <f>SUMIF($C$4:$C$88,G33,$E$4:$E$88)</f>
        <v>32.63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Haircuts – The Color Bar</t>
        </is>
      </c>
      <c r="H34" s="3">
        <f>SUMIF($C$4:$C$88,G34,$E$4:$E$88)</f>
        <v>32.5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Retail – Cat on a Whisk</t>
        </is>
      </c>
      <c r="H35" s="3">
        <f>SUMIF($C$4:$C$88,G35,$E$4:$E$88)</f>
        <v>24.51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Frndly TV</t>
        </is>
      </c>
      <c r="H36" s="3">
        <f>SUMIF($C$4:$C$88,G36,$E$4:$E$88)</f>
        <v>22.41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Streaming – Disney (via Roku)</t>
        </is>
      </c>
      <c r="H37" s="3">
        <f>SUMIF($C$4:$C$88,G37,$E$4:$E$88)</f>
        <v>20.27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Retail – Ross</t>
        </is>
      </c>
      <c r="H38" s="3">
        <f>SUMIF($C$4:$C$88,G38,$E$4:$E$88)</f>
        <v>16.32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2" t="inlineStr">
        <is>
          <t xml:space="preserve">Medical – Duke Hospital (Durham, food &amp; parking)</t>
        </is>
      </c>
      <c r="H39" s="3">
        <f>SUMIF($C$4:$C$88,G39,$E$4:$E$88)</f>
        <v>14.75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Streaming – ESPN (Sept billed as Disney Plus)</t>
        </is>
      </c>
      <c r="H40" s="3">
        <f>SUMIF($C$4:$C$88,G40,$E$4:$E$88)</f>
        <v>13.87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8" t="inlineStr">
        <is>
          <t xml:space="preserve">Total spending</t>
        </is>
      </c>
      <c r="H41" s="9">
        <f>SUM(H4:H40)</f>
        <v>11515.63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– Dosher Hospital (Southport)</t>
        </is>
      </c>
      <c r="D43" s="2" t="inlineStr">
        <is>
          <t xml:space="preserve">Health</t>
        </is>
      </c>
      <c r="E43" s="3">
        <v>100.28</v>
      </c>
      <c r="G43" s="7" t="inlineStr">
        <is>
          <t xml:space="preserve">Not counted as spending</t>
        </is>
      </c>
      <c r="H43" s="7"/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  <c r="G44" s="2" t="inlineStr">
        <is>
          <t xml:space="preserve">Credit Card Payoff – American Express</t>
        </is>
      </c>
      <c r="H44" s="3">
        <f>SUMIF($C$4:$C$88,G44,$E$4:$E$88)</f>
        <v>4738.51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SUMIF($C$4:$C$88,G45,$E$4:$E$88)</f>
        <v>2576.0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Student Loan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Medical – Duke Hospital (Durham, food &amp; parking)</t>
        </is>
      </c>
      <c r="D56" s="2" t="inlineStr">
        <is>
          <t xml:space="preserve">Health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Medical – Duke Hospital (Durham, food &amp; parking)</t>
        </is>
      </c>
      <c r="D58" s="2" t="inlineStr">
        <is>
          <t xml:space="preserve">Health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Student Loan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CVS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CVS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CVS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Medical – Granville Medical Center (Oxford)</t>
        </is>
      </c>
      <c r="E150" s="2" t="inlineStr">
        <is>
          <t xml:space="preserve">Health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Medical – Granville Medical Center (Oxford)</t>
        </is>
      </c>
      <c r="E153" s="2" t="inlineStr">
        <is>
          <t xml:space="preserve">Health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Medical – Granville Medical Center (Oxford)</t>
        </is>
      </c>
      <c r="E159" s="2" t="inlineStr">
        <is>
          <t xml:space="preserve">Health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CVS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Student Loan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(Pest Control, Lawn Treatment)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CVS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Bowery West</t>
        </is>
      </c>
      <c r="E228" s="2" t="inlineStr">
        <is>
          <t xml:space="preserve">Excluded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Bowery West</t>
        </is>
      </c>
      <c r="E229" s="2" t="inlineStr">
        <is>
          <t xml:space="preserve">Excluded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Bowery West</t>
        </is>
      </c>
      <c r="E230" s="2" t="inlineStr">
        <is>
          <t xml:space="preserve">Excluded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Bowery West</t>
        </is>
      </c>
      <c r="E231" s="2" t="inlineStr">
        <is>
          <t xml:space="preserve">Excluded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Dust and Mop House</t>
        </is>
      </c>
      <c r="E243" s="2" t="inlineStr">
        <is>
          <t xml:space="preserve">Excluded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– Dosher Hospital (Southport)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(Pest Control, Lawn Treatment)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CVS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Dust and Mop House</t>
        </is>
      </c>
      <c r="E296" s="2" t="inlineStr">
        <is>
          <t xml:space="preserve">Excluded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CVS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(Surf Cinema)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– Dosher Hospital (Southport)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Student Loan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CVS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– Wilmington Eye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– Dosher Hospital (Southport)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Student Loan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Medical – Duke Hospital (Durham, food &amp; parking)</t>
        </is>
      </c>
      <c r="E404" s="2" t="inlineStr">
        <is>
          <t xml:space="preserve">Health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Medical – Duke Hospital (Durham, food &amp; parking)</t>
        </is>
      </c>
      <c r="E406" s="2" t="inlineStr">
        <is>
          <t xml:space="preserve">Health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