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173.24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SUM(G7:G9)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387.61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SUM(G13:G17)</f>
        <v>1458.29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85.61</v>
      </c>
    </row>
    <row r="23">
      <c r="A23" s="12" t="inlineStr">
        <is>
          <t xml:space="preserve">Utility – Internet (Focus Broadband)</t>
        </is>
      </c>
      <c r="B23" s="3">
        <f>SUMIFS('All Transactions'!$F$5:$F$436,'All Transactions'!$D$5:$D$436,$A23,'All Transactions'!$A$5:$A$436,B$4)</f>
        <v>80.79</v>
      </c>
      <c r="C23" s="3">
        <f>SUMIFS('All Transactions'!$F$5:$F$436,'All Transactions'!$D$5:$D$436,$A23,'All Transactions'!$A$5:$A$436,C$4)</f>
        <v>0</v>
      </c>
      <c r="D23" s="3">
        <f>SUMIFS('All Transactions'!$F$5:$F$436,'All Transactions'!$D$5:$D$436,$A23,'All Transactions'!$A$5:$A$436,D$4)</f>
        <v>161.58</v>
      </c>
      <c r="E23" s="3">
        <f>SUMIFS('All Transactions'!$F$5:$F$436,'All Transactions'!$D$5:$D$436,$A23,'All Transactions'!$A$5:$A$436,E$4)</f>
        <v>80.79</v>
      </c>
      <c r="F23" s="3">
        <f>SUM(B23:E23)</f>
        <v>323.16</v>
      </c>
      <c r="G23" s="3">
        <f>F23/4</f>
        <v>80.79</v>
      </c>
    </row>
    <row r="24">
      <c r="A24" s="12" t="inlineStr">
        <is>
          <t xml:space="preserve">Verizon Wireless</t>
        </is>
      </c>
      <c r="B24" s="3">
        <f>SUMIFS('All Transactions'!$F$5:$F$436,'All Transactions'!$D$5:$D$436,$A24,'All Transactions'!$A$5:$A$436,B$4)</f>
        <v>294.57</v>
      </c>
      <c r="C24" s="3">
        <f>SUMIFS('All Transactions'!$F$5:$F$436,'All Transactions'!$D$5:$D$436,$A24,'All Transactions'!$A$5:$A$436,C$4)</f>
        <v>294.8</v>
      </c>
      <c r="D24" s="3">
        <f>SUMIFS('All Transactions'!$F$5:$F$436,'All Transactions'!$D$5:$D$436,$A24,'All Transactions'!$A$5:$A$436,D$4)</f>
        <v>436.02</v>
      </c>
      <c r="E24" s="3">
        <f>SUMIFS('All Transactions'!$F$5:$F$436,'All Transactions'!$D$5:$D$436,$A24,'All Transactions'!$A$5:$A$436,E$4)</f>
        <v>386.85</v>
      </c>
      <c r="F24" s="3">
        <f>SUM(B24:E24)</f>
        <v>1412.24</v>
      </c>
      <c r="G24" s="3">
        <f>F24/4</f>
        <v>353.06</v>
      </c>
    </row>
    <row r="25">
      <c r="A25" s="7" t="inlineStr">
        <is>
          <t xml:space="preserve">Total Utilities</t>
        </is>
      </c>
      <c r="B25" s="6">
        <f>SUM(B21:B24)</f>
        <v>454.2</v>
      </c>
      <c r="C25" s="6">
        <f>SUM(C21:C24)</f>
        <v>631.15</v>
      </c>
      <c r="D25" s="6">
        <f>SUM(D21:D24)</f>
        <v>1183.89</v>
      </c>
      <c r="E25" s="6">
        <f>SUM(E21:E24)</f>
        <v>971.56</v>
      </c>
      <c r="F25" s="6">
        <f>SUM(F21:F24)</f>
        <v>3240.8</v>
      </c>
      <c r="G25" s="6">
        <f>SUM(G21:G24)</f>
        <v>810.2</v>
      </c>
    </row>
    <row r="27">
      <c r="A27" s="5" t="inlineStr">
        <is>
          <t xml:space="preserve">Debt Payments</t>
        </is>
      </c>
    </row>
    <row r="28">
      <c r="A28" s="12" t="inlineStr">
        <is>
          <t xml:space="preserve">Student Loan (Dept of Education)</t>
        </is>
      </c>
      <c r="B28" s="3">
        <f>SUMIFS('All Transactions'!$F$5:$F$436,'All Transactions'!$D$5:$D$436,$A28,'All Transactions'!$A$5:$A$436,B$4)</f>
        <v>160.37</v>
      </c>
      <c r="C28" s="3">
        <f>SUMIFS('All Transactions'!$F$5:$F$436,'All Transactions'!$D$5:$D$436,$A28,'All Transactions'!$A$5:$A$436,C$4)</f>
        <v>160.37</v>
      </c>
      <c r="D28" s="3">
        <f>SUMIFS('All Transactions'!$F$5:$F$436,'All Transactions'!$D$5:$D$436,$A28,'All Transactions'!$A$5:$A$436,D$4)</f>
        <v>160.37</v>
      </c>
      <c r="E28" s="3">
        <f>SUMIFS('All Transactions'!$F$5:$F$436,'All Transactions'!$D$5:$D$436,$A28,'All Transactions'!$A$5:$A$436,E$4)</f>
        <v>160.37</v>
      </c>
      <c r="F28" s="3">
        <f>SUM(B28:E28)</f>
        <v>641.48</v>
      </c>
      <c r="G28" s="3">
        <f>F28/4</f>
        <v>160.37</v>
      </c>
    </row>
    <row r="29">
      <c r="A29" s="7" t="inlineStr">
        <is>
          <t xml:space="preserve">Total Debt Payments</t>
        </is>
      </c>
      <c r="B29" s="6">
        <f>SUM(B28:B28)</f>
        <v>160.37</v>
      </c>
      <c r="C29" s="6">
        <f>SUM(C28:C28)</f>
        <v>160.37</v>
      </c>
      <c r="D29" s="6">
        <f>SUM(D28:D28)</f>
        <v>160.37</v>
      </c>
      <c r="E29" s="6">
        <f>SUM(E28:E28)</f>
        <v>160.37</v>
      </c>
      <c r="F29" s="6">
        <f>SUM(F28:F28)</f>
        <v>641.48</v>
      </c>
      <c r="G29" s="6">
        <f>SUM(G28:G28)</f>
        <v>160.37</v>
      </c>
    </row>
    <row r="31">
      <c r="A31" s="5" t="inlineStr">
        <is>
          <t xml:space="preserve">Food</t>
        </is>
      </c>
    </row>
    <row r="32">
      <c r="A32" s="12" t="inlineStr">
        <is>
          <t xml:space="preserve">Groceries</t>
        </is>
      </c>
      <c r="B32" s="3">
        <f>SUMIFS('All Transactions'!$F$5:$F$436,'All Transactions'!$D$5:$D$436,$A32,'All Transactions'!$A$5:$A$436,B$4)</f>
        <v>1529.75</v>
      </c>
      <c r="C32" s="3">
        <f>SUMIFS('All Transactions'!$F$5:$F$436,'All Transactions'!$D$5:$D$436,$A32,'All Transactions'!$A$5:$A$436,C$4)</f>
        <v>1279.24</v>
      </c>
      <c r="D32" s="3">
        <f>SUMIFS('All Transactions'!$F$5:$F$436,'All Transactions'!$D$5:$D$436,$A32,'All Transactions'!$A$5:$A$436,D$4)</f>
        <v>1190.12</v>
      </c>
      <c r="E32" s="3">
        <f>SUMIFS('All Transactions'!$F$5:$F$436,'All Transactions'!$D$5:$D$436,$A32,'All Transactions'!$A$5:$A$436,E$4)</f>
        <v>1202.5</v>
      </c>
      <c r="F32" s="3">
        <f>SUM(B32:E32)</f>
        <v>5201.61</v>
      </c>
      <c r="G32" s="3">
        <f>F32/4</f>
        <v>1300.4</v>
      </c>
    </row>
    <row r="33">
      <c r="A33" s="12" t="inlineStr">
        <is>
          <t xml:space="preserve">Restaurants &amp; Takeout</t>
        </is>
      </c>
      <c r="B33" s="3">
        <f>SUMIFS('All Transactions'!$F$5:$F$436,'All Transactions'!$D$5:$D$436,$A33,'All Transactions'!$A$5:$A$436,B$4)</f>
        <v>1019.45</v>
      </c>
      <c r="C33" s="3">
        <f>SUMIFS('All Transactions'!$F$5:$F$436,'All Transactions'!$D$5:$D$436,$A33,'All Transactions'!$A$5:$A$436,C$4)</f>
        <v>935.1</v>
      </c>
      <c r="D33" s="3">
        <f>SUMIFS('All Transactions'!$F$5:$F$436,'All Transactions'!$D$5:$D$436,$A33,'All Transactions'!$A$5:$A$436,D$4)</f>
        <v>962.62</v>
      </c>
      <c r="E33" s="3">
        <f>SUMIFS('All Transactions'!$F$5:$F$436,'All Transactions'!$D$5:$D$436,$A33,'All Transactions'!$A$5:$A$436,E$4)</f>
        <v>872.56</v>
      </c>
      <c r="F33" s="3">
        <f>SUM(B33:E33)</f>
        <v>3789.73</v>
      </c>
      <c r="G33" s="3">
        <f>F33/4</f>
        <v>947.43</v>
      </c>
    </row>
    <row r="34">
      <c r="A34" s="7" t="inlineStr">
        <is>
          <t xml:space="preserve">Total Food</t>
        </is>
      </c>
      <c r="B34" s="6">
        <f>SUM(B32:B33)</f>
        <v>2549.2</v>
      </c>
      <c r="C34" s="6">
        <f>SUM(C32:C33)</f>
        <v>2214.34</v>
      </c>
      <c r="D34" s="6">
        <f>SUM(D32:D33)</f>
        <v>2152.74</v>
      </c>
      <c r="E34" s="6">
        <f>SUM(E32:E33)</f>
        <v>2075.06</v>
      </c>
      <c r="F34" s="6">
        <f>SUM(F32:F33)</f>
        <v>8991.34</v>
      </c>
      <c r="G34" s="6">
        <f>SUM(G32:G33)</f>
        <v>2247.83</v>
      </c>
    </row>
    <row r="36">
      <c r="A36" s="5" t="inlineStr">
        <is>
          <t xml:space="preserve">Transportation</t>
        </is>
      </c>
    </row>
    <row r="37">
      <c r="A37" s="12" t="inlineStr">
        <is>
          <t xml:space="preserve">Gas &amp; Convenience Stores</t>
        </is>
      </c>
      <c r="B37" s="3">
        <f>SUMIFS('All Transactions'!$F$5:$F$436,'All Transactions'!$D$5:$D$436,$A37,'All Transactions'!$A$5:$A$436,B$4)</f>
        <v>108.9</v>
      </c>
      <c r="C37" s="3">
        <f>SUMIFS('All Transactions'!$F$5:$F$436,'All Transactions'!$D$5:$D$436,$A37,'All Transactions'!$A$5:$A$436,C$4)</f>
        <v>277.87</v>
      </c>
      <c r="D37" s="3">
        <f>SUMIFS('All Transactions'!$F$5:$F$436,'All Transactions'!$D$5:$D$436,$A37,'All Transactions'!$A$5:$A$436,D$4)</f>
        <v>167.24</v>
      </c>
      <c r="E37" s="3">
        <f>SUMIFS('All Transactions'!$F$5:$F$436,'All Transactions'!$D$5:$D$436,$A37,'All Transactions'!$A$5:$A$436,E$4)</f>
        <v>238.98</v>
      </c>
      <c r="F37" s="3">
        <f>SUM(B37:E37)</f>
        <v>792.99</v>
      </c>
      <c r="G37" s="3">
        <f>F37/4</f>
        <v>198.25</v>
      </c>
    </row>
    <row r="38">
      <c r="A38" s="12" t="inlineStr">
        <is>
          <t xml:space="preserve">Tolls &amp; Parking</t>
        </is>
      </c>
      <c r="B38" s="3">
        <f>SUMIFS('All Transactions'!$F$5:$F$436,'All Transactions'!$D$5:$D$436,$A38,'All Transactions'!$A$5:$A$436,B$4)</f>
        <v>5.84</v>
      </c>
      <c r="C38" s="3">
        <f>SUMIFS('All Transactions'!$F$5:$F$436,'All Transactions'!$D$5:$D$436,$A38,'All Transactions'!$A$5:$A$436,C$4)</f>
        <v>0</v>
      </c>
      <c r="D38" s="3">
        <f>SUMIFS('All Transactions'!$F$5:$F$436,'All Transactions'!$D$5:$D$436,$A38,'All Transactions'!$A$5:$A$436,D$4)</f>
        <v>18.44</v>
      </c>
      <c r="E38" s="3">
        <f>SUMIFS('All Transactions'!$F$5:$F$436,'All Transactions'!$D$5:$D$436,$A38,'All Transactions'!$A$5:$A$436,E$4)</f>
        <v>74.24</v>
      </c>
      <c r="F38" s="3">
        <f>SUM(B38:E38)</f>
        <v>98.52</v>
      </c>
      <c r="G38" s="3">
        <f>F38/4</f>
        <v>24.63</v>
      </c>
    </row>
    <row r="39">
      <c r="A39" s="7" t="inlineStr">
        <is>
          <t xml:space="preserve">Total Transportation</t>
        </is>
      </c>
      <c r="B39" s="6">
        <f>SUM(B37:B38)</f>
        <v>114.74</v>
      </c>
      <c r="C39" s="6">
        <f>SUM(C37:C38)</f>
        <v>277.87</v>
      </c>
      <c r="D39" s="6">
        <f>SUM(D37:D38)</f>
        <v>185.68</v>
      </c>
      <c r="E39" s="6">
        <f>SUM(E37:E38)</f>
        <v>313.22</v>
      </c>
      <c r="F39" s="6">
        <f>SUM(F37:F38)</f>
        <v>891.51</v>
      </c>
      <c r="G39" s="6">
        <f>SUM(G37:G38)</f>
        <v>222.88</v>
      </c>
    </row>
    <row r="41">
      <c r="A41" s="5" t="inlineStr">
        <is>
          <t xml:space="preserve">Subscriptions</t>
        </is>
      </c>
    </row>
    <row r="42">
      <c r="A42" s="12" t="inlineStr">
        <is>
          <t xml:space="preserve">Streaming TV</t>
        </is>
      </c>
      <c r="B42" s="3">
        <f>SUMIFS('All Transactions'!$F$5:$F$436,'All Transactions'!$D$5:$D$436,$A42,'All Transactions'!$A$5:$A$436,B$4)</f>
        <v>188.8</v>
      </c>
      <c r="C42" s="3">
        <f>SUMIFS('All Transactions'!$F$5:$F$436,'All Transactions'!$D$5:$D$436,$A42,'All Transactions'!$A$5:$A$436,C$4)</f>
        <v>201.6</v>
      </c>
      <c r="D42" s="3">
        <f>SUMIFS('All Transactions'!$F$5:$F$436,'All Transactions'!$D$5:$D$436,$A42,'All Transactions'!$A$5:$A$436,D$4)</f>
        <v>158.35</v>
      </c>
      <c r="E42" s="3">
        <f>SUMIFS('All Transactions'!$F$5:$F$436,'All Transactions'!$D$5:$D$436,$A42,'All Transactions'!$A$5:$A$436,E$4)</f>
        <v>188.98</v>
      </c>
      <c r="F42" s="3">
        <f>SUM(B42:E42)</f>
        <v>737.73</v>
      </c>
      <c r="G42" s="3">
        <f>F42/4</f>
        <v>184.43</v>
      </c>
    </row>
    <row r="43">
      <c r="A43" s="12" t="inlineStr">
        <is>
          <t xml:space="preserve">Software &amp; Online Subscriptions</t>
        </is>
      </c>
      <c r="B43" s="3">
        <f>SUMIFS('All Transactions'!$F$5:$F$436,'All Transactions'!$D$5:$D$436,$A43,'All Transactions'!$A$5:$A$436,B$4)</f>
        <v>141.73</v>
      </c>
      <c r="C43" s="3">
        <f>SUMIFS('All Transactions'!$F$5:$F$436,'All Transactions'!$D$5:$D$436,$A43,'All Transactions'!$A$5:$A$436,C$4)</f>
        <v>161.05</v>
      </c>
      <c r="D43" s="3">
        <f>SUMIFS('All Transactions'!$F$5:$F$436,'All Transactions'!$D$5:$D$436,$A43,'All Transactions'!$A$5:$A$436,D$4)</f>
        <v>65.98</v>
      </c>
      <c r="E43" s="3">
        <f>SUMIFS('All Transactions'!$F$5:$F$436,'All Transactions'!$D$5:$D$436,$A43,'All Transactions'!$A$5:$A$436,E$4)</f>
        <v>0</v>
      </c>
      <c r="F43" s="3">
        <f>SUM(B43:E43)</f>
        <v>368.76</v>
      </c>
      <c r="G43" s="3">
        <f>F43/4</f>
        <v>92.19</v>
      </c>
    </row>
    <row r="44">
      <c r="A44" s="7" t="inlineStr">
        <is>
          <t xml:space="preserve">Total Subscriptions</t>
        </is>
      </c>
      <c r="B44" s="6">
        <f>SUM(B42:B43)</f>
        <v>330.53</v>
      </c>
      <c r="C44" s="6">
        <f>SUM(C42:C43)</f>
        <v>362.65</v>
      </c>
      <c r="D44" s="6">
        <f>SUM(D42:D43)</f>
        <v>224.33</v>
      </c>
      <c r="E44" s="6">
        <f>SUM(E42:E43)</f>
        <v>188.98</v>
      </c>
      <c r="F44" s="6">
        <f>SUM(F42:F43)</f>
        <v>1106.49</v>
      </c>
      <c r="G44" s="6">
        <f>SUM(G42:G43)</f>
        <v>276.62</v>
      </c>
    </row>
    <row r="46">
      <c r="A46" s="5" t="inlineStr">
        <is>
          <t xml:space="preserve">Health</t>
        </is>
      </c>
    </row>
    <row r="47">
      <c r="A47" s="12" t="inlineStr">
        <is>
          <t xml:space="preserve">Medical &amp; Pharmacy</t>
        </is>
      </c>
      <c r="B47" s="3">
        <f>SUMIFS('All Transactions'!$F$5:$F$436,'All Transactions'!$D$5:$D$436,$A47,'All Transactions'!$A$5:$A$436,B$4)</f>
        <v>160.07</v>
      </c>
      <c r="C47" s="3">
        <f>SUMIFS('All Transactions'!$F$5:$F$436,'All Transactions'!$D$5:$D$436,$A47,'All Transactions'!$A$5:$A$436,C$4)</f>
        <v>100.93</v>
      </c>
      <c r="D47" s="3">
        <f>SUMIFS('All Transactions'!$F$5:$F$436,'All Transactions'!$D$5:$D$436,$A47,'All Transactions'!$A$5:$A$436,D$4)</f>
        <v>850.9</v>
      </c>
      <c r="E47" s="3">
        <f>SUMIFS('All Transactions'!$F$5:$F$436,'All Transactions'!$D$5:$D$436,$A47,'All Transactions'!$A$5:$A$436,E$4)</f>
        <v>160.28</v>
      </c>
      <c r="F47" s="3">
        <f>SUM(B47:E47)</f>
        <v>1272.18</v>
      </c>
      <c r="G47" s="3">
        <f>F47/4</f>
        <v>318.05</v>
      </c>
    </row>
    <row r="48">
      <c r="A48" s="7" t="inlineStr">
        <is>
          <t xml:space="preserve">Total Health</t>
        </is>
      </c>
      <c r="B48" s="6">
        <f>SUM(B47:B47)</f>
        <v>160.07</v>
      </c>
      <c r="C48" s="6">
        <f>SUM(C47:C47)</f>
        <v>100.93</v>
      </c>
      <c r="D48" s="6">
        <f>SUM(D47:D47)</f>
        <v>850.9</v>
      </c>
      <c r="E48" s="6">
        <f>SUM(E47:E47)</f>
        <v>160.28</v>
      </c>
      <c r="F48" s="6">
        <f>SUM(F47:F47)</f>
        <v>1272.18</v>
      </c>
      <c r="G48" s="6">
        <f>SUM(G47:G47)</f>
        <v>318.05</v>
      </c>
    </row>
    <row r="50">
      <c r="A50" s="5" t="inlineStr">
        <is>
          <t xml:space="preserve">Personal</t>
        </is>
      </c>
    </row>
    <row r="51">
      <c r="A51" s="12" t="inlineStr">
        <is>
          <t xml:space="preserve">Personal Care (Hair, Beauty)</t>
        </is>
      </c>
      <c r="B51" s="3">
        <f>SUMIFS('All Transactions'!$F$5:$F$436,'All Transactions'!$D$5:$D$436,$A51,'All Transactions'!$A$5:$A$436,B$4)</f>
        <v>368.52</v>
      </c>
      <c r="C51" s="3">
        <f>SUMIFS('All Transactions'!$F$5:$F$436,'All Transactions'!$D$5:$D$436,$A51,'All Transactions'!$A$5:$A$436,C$4)</f>
        <v>0</v>
      </c>
      <c r="D51" s="3">
        <f>SUMIFS('All Transactions'!$F$5:$F$436,'All Transactions'!$D$5:$D$436,$A51,'All Transactions'!$A$5:$A$436,D$4)</f>
        <v>182.5</v>
      </c>
      <c r="E51" s="3">
        <f>SUMIFS('All Transactions'!$F$5:$F$436,'All Transactions'!$D$5:$D$436,$A51,'All Transactions'!$A$5:$A$436,E$4)</f>
        <v>114.5</v>
      </c>
      <c r="F51" s="3">
        <f>SUM(B51:E51)</f>
        <v>665.52</v>
      </c>
      <c r="G51" s="3">
        <f>F51/4</f>
        <v>166.38</v>
      </c>
    </row>
    <row r="52">
      <c r="A52" s="7" t="inlineStr">
        <is>
          <t xml:space="preserve">Total Personal</t>
        </is>
      </c>
      <c r="B52" s="6">
        <f>SUM(B51:B51)</f>
        <v>368.52</v>
      </c>
      <c r="C52" s="6">
        <f>SUM(C51:C51)</f>
        <v>0</v>
      </c>
      <c r="D52" s="6">
        <f>SUM(D51:D51)</f>
        <v>182.5</v>
      </c>
      <c r="E52" s="6">
        <f>SUM(E51:E51)</f>
        <v>114.5</v>
      </c>
      <c r="F52" s="6">
        <f>SUM(F51:F51)</f>
        <v>665.52</v>
      </c>
      <c r="G52" s="6">
        <f>SUM(G51:G51)</f>
        <v>166.38</v>
      </c>
    </row>
    <row r="54">
      <c r="A54" s="5" t="inlineStr">
        <is>
          <t xml:space="preserve">Shopping</t>
        </is>
      </c>
    </row>
    <row r="55">
      <c r="A55" s="12" t="inlineStr">
        <is>
          <t xml:space="preserve">Shopping &amp; Household</t>
        </is>
      </c>
      <c r="B55" s="3">
        <f>SUMIFS('All Transactions'!$F$5:$F$436,'All Transactions'!$D$5:$D$436,$A55,'All Transactions'!$A$5:$A$436,B$4)</f>
        <v>215.04</v>
      </c>
      <c r="C55" s="3">
        <f>SUMIFS('All Transactions'!$F$5:$F$436,'All Transactions'!$D$5:$D$436,$A55,'All Transactions'!$A$5:$A$436,C$4)</f>
        <v>202.14</v>
      </c>
      <c r="D55" s="3">
        <f>SUMIFS('All Transactions'!$F$5:$F$436,'All Transactions'!$D$5:$D$436,$A55,'All Transactions'!$A$5:$A$436,D$4)</f>
        <v>2208.92</v>
      </c>
      <c r="E55" s="3">
        <f>SUMIFS('All Transactions'!$F$5:$F$436,'All Transactions'!$D$5:$D$436,$A55,'All Transactions'!$A$5:$A$436,E$4)</f>
        <v>247.84</v>
      </c>
      <c r="F55" s="3">
        <f>SUM(B55:E55)</f>
        <v>2873.94</v>
      </c>
      <c r="G55" s="3">
        <f>F55/4</f>
        <v>718.48</v>
      </c>
    </row>
    <row r="56">
      <c r="A56" s="7" t="inlineStr">
        <is>
          <t xml:space="preserve">Total Shopping</t>
        </is>
      </c>
      <c r="B56" s="6">
        <f>SUM(B55:B55)</f>
        <v>215.04</v>
      </c>
      <c r="C56" s="6">
        <f>SUM(C55:C55)</f>
        <v>202.14</v>
      </c>
      <c r="D56" s="6">
        <f>SUM(D55:D55)</f>
        <v>2208.92</v>
      </c>
      <c r="E56" s="6">
        <f>SUM(E55:E55)</f>
        <v>247.84</v>
      </c>
      <c r="F56" s="6">
        <f>SUM(F55:F55)</f>
        <v>2873.94</v>
      </c>
      <c r="G56" s="6">
        <f>SUM(G55:G55)</f>
        <v>718.48</v>
      </c>
    </row>
    <row r="58">
      <c r="A58" s="5" t="inlineStr">
        <is>
          <t xml:space="preserve">Home</t>
        </is>
      </c>
    </row>
    <row r="59">
      <c r="A59" s="12" t="inlineStr">
        <is>
          <t xml:space="preserve">Home Improvement (Lowe's)</t>
        </is>
      </c>
      <c r="B59" s="3">
        <f>SUMIFS('All Transactions'!$F$5:$F$436,'All Transactions'!$D$5:$D$436,$A59,'All Transactions'!$A$5:$A$436,B$4)</f>
        <v>27.67</v>
      </c>
      <c r="C59" s="3">
        <f>SUMIFS('All Transactions'!$F$5:$F$436,'All Transactions'!$D$5:$D$436,$A59,'All Transactions'!$A$5:$A$436,C$4)</f>
        <v>0</v>
      </c>
      <c r="D59" s="3">
        <f>SUMIFS('All Transactions'!$F$5:$F$436,'All Transactions'!$D$5:$D$436,$A59,'All Transactions'!$A$5:$A$436,D$4)</f>
        <v>171.55</v>
      </c>
      <c r="E59" s="3">
        <f>SUMIFS('All Transactions'!$F$5:$F$436,'All Transactions'!$D$5:$D$436,$A59,'All Transactions'!$A$5:$A$436,E$4)</f>
        <v>85.27</v>
      </c>
      <c r="F59" s="3">
        <f>SUM(B59:E59)</f>
        <v>284.49</v>
      </c>
      <c r="G59" s="3">
        <f>F59/4</f>
        <v>71.12</v>
      </c>
    </row>
    <row r="60">
      <c r="A60" s="12" t="inlineStr">
        <is>
          <t xml:space="preserve">Yard Company (NextGen)</t>
        </is>
      </c>
      <c r="B60" s="3">
        <f>SUMIFS('All Transactions'!$F$5:$F$436,'All Transactions'!$D$5:$D$436,$A60,'All Transactions'!$A$5:$A$436,B$4)</f>
        <v>60.0</v>
      </c>
      <c r="C60" s="3">
        <f>SUMIFS('All Transactions'!$F$5:$F$436,'All Transactions'!$D$5:$D$436,$A60,'All Transactions'!$A$5:$A$436,C$4)</f>
        <v>100.0</v>
      </c>
      <c r="D60" s="3">
        <f>SUMIFS('All Transactions'!$F$5:$F$436,'All Transactions'!$D$5:$D$436,$A60,'All Transactions'!$A$5:$A$436,D$4)</f>
        <v>220.0</v>
      </c>
      <c r="E60" s="3">
        <f>SUMIFS('All Transactions'!$F$5:$F$436,'All Transactions'!$D$5:$D$436,$A60,'All Transactions'!$A$5:$A$436,E$4)</f>
        <v>120.0</v>
      </c>
      <c r="F60" s="3">
        <f>SUM(B60:E60)</f>
        <v>500.0</v>
      </c>
      <c r="G60" s="3">
        <f>F60/4</f>
        <v>125.0</v>
      </c>
    </row>
    <row r="61">
      <c r="A61" s="12" t="inlineStr">
        <is>
          <t xml:space="preserve">Home Services (Cleaning, Pest, Lawn)</t>
        </is>
      </c>
      <c r="B61" s="3">
        <f>SUMIFS('All Transactions'!$F$5:$F$436,'All Transactions'!$D$5:$D$436,$A61,'All Transactions'!$A$5:$A$436,B$4)</f>
        <v>0</v>
      </c>
      <c r="C61" s="3">
        <f>SUMIFS('All Transactions'!$F$5:$F$436,'All Transactions'!$D$5:$D$436,$A61,'All Transactions'!$A$5:$A$436,C$4)</f>
        <v>242.05</v>
      </c>
      <c r="D61" s="3">
        <f>SUMIFS('All Transactions'!$F$5:$F$436,'All Transactions'!$D$5:$D$436,$A61,'All Transactions'!$A$5:$A$436,D$4)</f>
        <v>536.6</v>
      </c>
      <c r="E61" s="3">
        <f>SUMIFS('All Transactions'!$F$5:$F$436,'All Transactions'!$D$5:$D$436,$A61,'All Transactions'!$A$5:$A$436,E$4)</f>
        <v>0</v>
      </c>
      <c r="F61" s="3">
        <f>SUM(B61:E61)</f>
        <v>778.65</v>
      </c>
      <c r="G61" s="3">
        <f>F61/4</f>
        <v>194.66</v>
      </c>
    </row>
    <row r="62">
      <c r="A62" s="7" t="inlineStr">
        <is>
          <t xml:space="preserve">Total Home</t>
        </is>
      </c>
      <c r="B62" s="6">
        <f>SUM(B59:B61)</f>
        <v>87.67</v>
      </c>
      <c r="C62" s="6">
        <f>SUM(C59:C61)</f>
        <v>342.05</v>
      </c>
      <c r="D62" s="6">
        <f>SUM(D59:D61)</f>
        <v>928.15</v>
      </c>
      <c r="E62" s="6">
        <f>SUM(E59:E61)</f>
        <v>205.27</v>
      </c>
      <c r="F62" s="6">
        <f>SUM(F59:F61)</f>
        <v>1563.14</v>
      </c>
      <c r="G62" s="6">
        <f>SUM(G59:G61)</f>
        <v>390.78</v>
      </c>
    </row>
    <row r="64">
      <c r="A64" s="5" t="inlineStr">
        <is>
          <t xml:space="preserve">Travel</t>
        </is>
      </c>
    </row>
    <row r="65">
      <c r="A65" s="12" t="inlineStr">
        <is>
          <t xml:space="preserve">Travel (Lyft, Hotel)</t>
        </is>
      </c>
      <c r="B65" s="3">
        <f>SUMIFS('All Transactions'!$F$5:$F$436,'All Transactions'!$D$5:$D$436,$A65,'All Transactions'!$A$5:$A$436,B$4)</f>
        <v>102.65</v>
      </c>
      <c r="C65" s="3">
        <f>SUMIFS('All Transactions'!$F$5:$F$436,'All Transactions'!$D$5:$D$436,$A65,'All Transactions'!$A$5:$A$436,C$4)</f>
        <v>0</v>
      </c>
      <c r="D65" s="3">
        <f>SUMIFS('All Transactions'!$F$5:$F$436,'All Transactions'!$D$5:$D$436,$A65,'All Transactions'!$A$5:$A$436,D$4)</f>
        <v>0</v>
      </c>
      <c r="E65" s="3">
        <f>SUMIFS('All Transactions'!$F$5:$F$436,'All Transactions'!$D$5:$D$436,$A65,'All Transactions'!$A$5:$A$436,E$4)</f>
        <v>0</v>
      </c>
      <c r="F65" s="3">
        <f>SUM(B65:E65)</f>
        <v>102.65</v>
      </c>
      <c r="G65" s="3">
        <f>F65/4</f>
        <v>25.66</v>
      </c>
    </row>
    <row r="66">
      <c r="A66" s="7" t="inlineStr">
        <is>
          <t xml:space="preserve">Total Travel</t>
        </is>
      </c>
      <c r="B66" s="6">
        <f>SUM(B65:B65)</f>
        <v>102.65</v>
      </c>
      <c r="C66" s="6">
        <f>SUM(C65:C65)</f>
        <v>0</v>
      </c>
      <c r="D66" s="6">
        <f>SUM(D65:D65)</f>
        <v>0</v>
      </c>
      <c r="E66" s="6">
        <f>SUM(E65:E65)</f>
        <v>0</v>
      </c>
      <c r="F66" s="6">
        <f>SUM(F65:F65)</f>
        <v>102.65</v>
      </c>
      <c r="G66" s="6">
        <f>SUM(G65:G65)</f>
        <v>25.66</v>
      </c>
    </row>
    <row r="68">
      <c r="A68" s="5" t="inlineStr">
        <is>
          <t xml:space="preserve">Recreation</t>
        </is>
      </c>
    </row>
    <row r="69">
      <c r="A69" s="12" t="inlineStr">
        <is>
          <t xml:space="preserve">St. James Marina</t>
        </is>
      </c>
      <c r="B69" s="3">
        <f>SUMIFS('All Transactions'!$F$5:$F$436,'All Transactions'!$D$5:$D$436,$A69,'All Transactions'!$A$5:$A$436,B$4)</f>
        <v>0</v>
      </c>
      <c r="C69" s="3">
        <f>SUMIFS('All Transactions'!$F$5:$F$436,'All Transactions'!$D$5:$D$436,$A69,'All Transactions'!$A$5:$A$436,C$4)</f>
        <v>33.54</v>
      </c>
      <c r="D69" s="3">
        <f>SUMIFS('All Transactions'!$F$5:$F$436,'All Transactions'!$D$5:$D$436,$A69,'All Transactions'!$A$5:$A$436,D$4)</f>
        <v>0</v>
      </c>
      <c r="E69" s="3">
        <f>SUMIFS('All Transactions'!$F$5:$F$436,'All Transactions'!$D$5:$D$436,$A69,'All Transactions'!$A$5:$A$436,E$4)</f>
        <v>0</v>
      </c>
      <c r="F69" s="3">
        <f>SUM(B69:E69)</f>
        <v>33.54</v>
      </c>
      <c r="G69" s="3">
        <f>F69/4</f>
        <v>8.38</v>
      </c>
    </row>
    <row r="70">
      <c r="A70" s="12" t="inlineStr">
        <is>
          <t xml:space="preserve">Entertainment &amp; Events</t>
        </is>
      </c>
      <c r="B70" s="3">
        <f>SUMIFS('All Transactions'!$F$5:$F$436,'All Transactions'!$D$5:$D$436,$A70,'All Transactions'!$A$5:$A$436,B$4)</f>
        <v>0</v>
      </c>
      <c r="C70" s="3">
        <f>SUMIFS('All Transactions'!$F$5:$F$436,'All Transactions'!$D$5:$D$436,$A70,'All Transactions'!$A$5:$A$436,C$4)</f>
        <v>400.0</v>
      </c>
      <c r="D70" s="3">
        <f>SUMIFS('All Transactions'!$F$5:$F$436,'All Transactions'!$D$5:$D$436,$A70,'All Transactions'!$A$5:$A$436,D$4)</f>
        <v>13.5</v>
      </c>
      <c r="E70" s="3">
        <f>SUMIFS('All Transactions'!$F$5:$F$436,'All Transactions'!$D$5:$D$436,$A70,'All Transactions'!$A$5:$A$436,E$4)</f>
        <v>0</v>
      </c>
      <c r="F70" s="3">
        <f>SUM(B70:E70)</f>
        <v>413.5</v>
      </c>
      <c r="G70" s="3">
        <f>F70/4</f>
        <v>103.38</v>
      </c>
    </row>
    <row r="71">
      <c r="A71" s="7" t="inlineStr">
        <is>
          <t xml:space="preserve">Total Recreation</t>
        </is>
      </c>
      <c r="B71" s="6">
        <f>SUM(B69:B70)</f>
        <v>0</v>
      </c>
      <c r="C71" s="6">
        <f>SUM(C69:C70)</f>
        <v>433.54</v>
      </c>
      <c r="D71" s="6">
        <f>SUM(D69:D70)</f>
        <v>13.5</v>
      </c>
      <c r="E71" s="6">
        <f>SUM(E69:E70)</f>
        <v>0</v>
      </c>
      <c r="F71" s="6">
        <f>SUM(F69:F70)</f>
        <v>447.04</v>
      </c>
      <c r="G71" s="6">
        <f>SUM(G69:G70)</f>
        <v>111.76</v>
      </c>
    </row>
    <row r="73">
      <c r="A73" s="5" t="inlineStr">
        <is>
          <t xml:space="preserve">Transfers</t>
        </is>
      </c>
    </row>
    <row r="74">
      <c r="A74" s="12" t="inlineStr">
        <is>
          <t xml:space="preserve">Transfers to People (Venmo/Zelle)</t>
        </is>
      </c>
      <c r="B74" s="3">
        <f>SUMIFS('All Transactions'!$F$5:$F$436,'All Transactions'!$D$5:$D$436,$A74,'All Transactions'!$A$5:$A$436,B$4)</f>
        <v>75.0</v>
      </c>
      <c r="C74" s="3">
        <f>SUMIFS('All Transactions'!$F$5:$F$436,'All Transactions'!$D$5:$D$436,$A74,'All Transactions'!$A$5:$A$436,C$4)</f>
        <v>764.05</v>
      </c>
      <c r="D74" s="3">
        <f>SUMIFS('All Transactions'!$F$5:$F$436,'All Transactions'!$D$5:$D$436,$A74,'All Transactions'!$A$5:$A$436,D$4)</f>
        <v>331.5</v>
      </c>
      <c r="E74" s="3">
        <f>SUMIFS('All Transactions'!$F$5:$F$436,'All Transactions'!$D$5:$D$436,$A74,'All Transactions'!$A$5:$A$436,E$4)</f>
        <v>130.0</v>
      </c>
      <c r="F74" s="3">
        <f>SUM(B74:E74)</f>
        <v>1300.55</v>
      </c>
      <c r="G74" s="3">
        <f>F74/4</f>
        <v>325.14</v>
      </c>
    </row>
    <row r="75">
      <c r="A75" s="7" t="inlineStr">
        <is>
          <t xml:space="preserve">Total Transfers</t>
        </is>
      </c>
      <c r="B75" s="6">
        <f>SUM(B74:B74)</f>
        <v>75.0</v>
      </c>
      <c r="C75" s="6">
        <f>SUM(C74:C74)</f>
        <v>764.05</v>
      </c>
      <c r="D75" s="6">
        <f>SUM(D74:D74)</f>
        <v>331.5</v>
      </c>
      <c r="E75" s="6">
        <f>SUM(E74:E74)</f>
        <v>130.0</v>
      </c>
      <c r="F75" s="6">
        <f>SUM(F74:F74)</f>
        <v>1300.55</v>
      </c>
      <c r="G75" s="6">
        <f>SUM(G74:G74)</f>
        <v>325.14</v>
      </c>
    </row>
    <row r="77">
      <c r="A77" s="5" t="inlineStr">
        <is>
          <t xml:space="preserve">Other</t>
        </is>
      </c>
    </row>
    <row r="78">
      <c r="A78" s="12" t="inlineStr">
        <is>
          <t xml:space="preserve">Donations &amp; Clubs (Kiwanis)</t>
        </is>
      </c>
      <c r="B78" s="3">
        <f>SUMIFS('All Transactions'!$F$5:$F$436,'All Transactions'!$D$5:$D$436,$A78,'All Transactions'!$A$5:$A$436,B$4)</f>
        <v>0</v>
      </c>
      <c r="C78" s="3">
        <f>SUMIFS('All Transactions'!$F$5:$F$436,'All Transactions'!$D$5:$D$436,$A78,'All Transactions'!$A$5:$A$436,C$4)</f>
        <v>0</v>
      </c>
      <c r="D78" s="3">
        <f>SUMIFS('All Transactions'!$F$5:$F$436,'All Transactions'!$D$5:$D$436,$A78,'All Transactions'!$A$5:$A$436,D$4)</f>
        <v>0</v>
      </c>
      <c r="E78" s="3">
        <f>SUMIFS('All Transactions'!$F$5:$F$436,'All Transactions'!$D$5:$D$436,$A78,'All Transactions'!$A$5:$A$436,E$4)</f>
        <v>200.0</v>
      </c>
      <c r="F78" s="3">
        <f>SUM(B78:E78)</f>
        <v>200.0</v>
      </c>
      <c r="G78" s="3">
        <f>F78/4</f>
        <v>50.0</v>
      </c>
    </row>
    <row r="79">
      <c r="A79" s="12" t="inlineStr">
        <is>
          <t xml:space="preserve">Cash (ATM) &amp; Bank Fees</t>
        </is>
      </c>
      <c r="B79" s="3">
        <f>SUMIFS('All Transactions'!$F$5:$F$436,'All Transactions'!$D$5:$D$436,$A79,'All Transactions'!$A$5:$A$436,B$4)</f>
        <v>0</v>
      </c>
      <c r="C79" s="3">
        <f>SUMIFS('All Transactions'!$F$5:$F$436,'All Transactions'!$D$5:$D$436,$A79,'All Transactions'!$A$5:$A$436,C$4)</f>
        <v>0</v>
      </c>
      <c r="D79" s="3">
        <f>SUMIFS('All Transactions'!$F$5:$F$436,'All Transactions'!$D$5:$D$436,$A79,'All Transactions'!$A$5:$A$436,D$4)</f>
        <v>0</v>
      </c>
      <c r="E79" s="3">
        <f>SUMIFS('All Transactions'!$F$5:$F$436,'All Transactions'!$D$5:$D$436,$A79,'All Transactions'!$A$5:$A$436,E$4)</f>
        <v>147.0</v>
      </c>
      <c r="F79" s="3">
        <f>SUM(B79:E79)</f>
        <v>147.0</v>
      </c>
      <c r="G79" s="3">
        <f>F79/4</f>
        <v>36.75</v>
      </c>
    </row>
    <row r="80">
      <c r="A80" s="7" t="inlineStr">
        <is>
          <t xml:space="preserve">Total Other</t>
        </is>
      </c>
      <c r="B80" s="6">
        <f>SUM(B78:B79)</f>
        <v>0</v>
      </c>
      <c r="C80" s="6">
        <f>SUM(C78:C79)</f>
        <v>0</v>
      </c>
      <c r="D80" s="6">
        <f>SUM(D78:D79)</f>
        <v>0</v>
      </c>
      <c r="E80" s="6">
        <f>SUM(E78:E79)</f>
        <v>347.0</v>
      </c>
      <c r="F80" s="6">
        <f>SUM(F78:F79)</f>
        <v>347.0</v>
      </c>
      <c r="G80" s="6">
        <f>SUM(G78:G79)</f>
        <v>86.75</v>
      </c>
    </row>
    <row r="82">
      <c r="A82" s="8" t="inlineStr">
        <is>
          <t xml:space="preserve">TOTAL SPENDING</t>
        </is>
      </c>
      <c r="B82" s="9">
        <f>B10+B18+B25+B29+B34+B39+B44+B48+B52+B56+B62+B66+B71+B75+B80</f>
        <v>11749.12</v>
      </c>
      <c r="C82" s="9">
        <f>C10+C18+C25+C29+C34+C39+C44+C48+C52+C56+C62+C66+C71+C75+C80</f>
        <v>11715.2</v>
      </c>
      <c r="D82" s="9">
        <f>D10+D18+D25+D29+D34+D39+D44+D48+D52+D56+D62+D66+D71+D75+D80</f>
        <v>15086.64</v>
      </c>
      <c r="E82" s="9">
        <f>E10+E18+E25+E29+E34+E39+E44+E48+E52+E56+E62+E66+E71+E75+E80</f>
        <v>11515.63</v>
      </c>
      <c r="F82" s="9">
        <f>F10+F18+F25+F29+F34+F39+F44+F48+F52+F56+F62+F66+F71+F75+F80</f>
        <v>50066.59</v>
      </c>
      <c r="G82" s="9">
        <f>G10+G18+G25+G29+G34+G39+G44+G48+G52+G56+G62+G66+G71+G75+G80</f>
        <v>12516.64</v>
      </c>
    </row>
    <row r="84">
      <c r="A84" s="5" t="inlineStr">
        <is>
          <t xml:space="preserve">Not counted as spending</t>
        </is>
      </c>
    </row>
    <row r="85">
      <c r="A85" s="12" t="inlineStr">
        <is>
          <t xml:space="preserve">WTW Health Premium (reimbursed by Via Benefits)</t>
        </is>
      </c>
      <c r="B85" s="3">
        <f>SUMIFS('All Transactions'!$F$5:$F$436,'All Transactions'!$D$5:$D$436,$A85,'All Transactions'!$A$5:$A$436,B$4)</f>
        <v>2576.0</v>
      </c>
      <c r="C85" s="3">
        <f>SUMIFS('All Transactions'!$F$5:$F$436,'All Transactions'!$D$5:$D$436,$A85,'All Transactions'!$A$5:$A$436,C$4)</f>
        <v>2576.0</v>
      </c>
      <c r="D85" s="3">
        <f>SUMIFS('All Transactions'!$F$5:$F$436,'All Transactions'!$D$5:$D$436,$A85,'All Transactions'!$A$5:$A$436,D$4)</f>
        <v>2576.0</v>
      </c>
      <c r="E85" s="3">
        <f>SUMIFS('All Transactions'!$F$5:$F$436,'All Transactions'!$D$5:$D$436,$A85,'All Transactions'!$A$5:$A$436,E$4)</f>
        <v>2576.0</v>
      </c>
      <c r="F85" s="3">
        <f>SUM(B85:E85)</f>
        <v>10304.0</v>
      </c>
      <c r="G85" s="3">
        <f>F85/4</f>
        <v>2576.0</v>
      </c>
    </row>
    <row r="86">
      <c r="A86" s="12" t="inlineStr">
        <is>
          <t xml:space="preserve">Credit Card Payoff – American Express</t>
        </is>
      </c>
      <c r="B86" s="3">
        <f>SUMIFS('All Transactions'!$F$5:$F$436,'All Transactions'!$D$5:$D$436,$A86,'All Transactions'!$A$5:$A$436,B$4)</f>
        <v>0</v>
      </c>
      <c r="C86" s="3">
        <f>SUMIFS('All Transactions'!$F$5:$F$436,'All Transactions'!$D$5:$D$436,$A86,'All Transactions'!$A$5:$A$436,C$4)</f>
        <v>7227.09</v>
      </c>
      <c r="D86" s="3">
        <f>SUMIFS('All Transactions'!$F$5:$F$436,'All Transactions'!$D$5:$D$436,$A86,'All Transactions'!$A$5:$A$436,D$4)</f>
        <v>4593.08</v>
      </c>
      <c r="E86" s="3">
        <f>SUMIFS('All Transactions'!$F$5:$F$436,'All Transactions'!$D$5:$D$436,$A86,'All Transactions'!$A$5:$A$436,E$4)</f>
        <v>4738.51</v>
      </c>
      <c r="F86" s="3">
        <f>SUM(B86:E86)</f>
        <v>16558.68</v>
      </c>
      <c r="G86" s="3">
        <f>F86/4</f>
        <v>4139.67</v>
      </c>
    </row>
    <row r="87">
      <c r="A87" s="12" t="inlineStr">
        <is>
          <t xml:space="preserve">Credit Card Payoff – Belk (Synchrony)</t>
        </is>
      </c>
      <c r="B87" s="3">
        <f>SUMIFS('All Transactions'!$F$5:$F$436,'All Transactions'!$D$5:$D$436,$A87,'All Transactions'!$A$5:$A$436,B$4)</f>
        <v>386.69</v>
      </c>
      <c r="C87" s="3">
        <f>SUMIFS('All Transactions'!$F$5:$F$436,'All Transactions'!$D$5:$D$436,$A87,'All Transactions'!$A$5:$A$436,C$4)</f>
        <v>948.04</v>
      </c>
      <c r="D87" s="3">
        <f>SUMIFS('All Transactions'!$F$5:$F$436,'All Transactions'!$D$5:$D$436,$A87,'All Transactions'!$A$5:$A$436,D$4)</f>
        <v>0</v>
      </c>
      <c r="E87" s="3">
        <f>SUMIFS('All Transactions'!$F$5:$F$436,'All Transactions'!$D$5:$D$436,$A87,'All Transactions'!$A$5:$A$436,E$4)</f>
        <v>0</v>
      </c>
      <c r="F87" s="3">
        <f>SUM(B87:E87)</f>
        <v>1334.73</v>
      </c>
      <c r="G87" s="3">
        <f>F87/4</f>
        <v>333.68</v>
      </c>
    </row>
    <row r="88">
      <c r="A88" s="12" t="inlineStr">
        <is>
          <t xml:space="preserve">Sloane Realty</t>
        </is>
      </c>
      <c r="B88" s="3">
        <f>SUMIFS('All Transactions'!$F$5:$F$436,'All Transactions'!$D$5:$D$436,$A88,'All Transactions'!$A$5:$A$436,B$4)</f>
        <v>0</v>
      </c>
      <c r="C88" s="3">
        <f>SUMIFS('All Transactions'!$F$5:$F$436,'All Transactions'!$D$5:$D$436,$A88,'All Transactions'!$A$5:$A$436,C$4)</f>
        <v>2891.98</v>
      </c>
      <c r="D88" s="3">
        <f>SUMIFS('All Transactions'!$F$5:$F$436,'All Transactions'!$D$5:$D$436,$A88,'All Transactions'!$A$5:$A$436,D$4)</f>
        <v>0</v>
      </c>
      <c r="E88" s="3">
        <f>SUMIFS('All Transactions'!$F$5:$F$436,'All Transactions'!$D$5:$D$436,$A88,'All Transactions'!$A$5:$A$436,E$4)</f>
        <v>0</v>
      </c>
      <c r="F88" s="3">
        <f>SUM(B88:E88)</f>
        <v>2891.98</v>
      </c>
      <c r="G88" s="3">
        <f>F88/4</f>
        <v>723.0</v>
      </c>
    </row>
    <row r="89">
      <c r="A89" s="12" t="inlineStr">
        <is>
          <t xml:space="preserve">Checks Written (payee not shown)</t>
        </is>
      </c>
      <c r="B89" s="3">
        <f>SUMIFS('All Transactions'!$F$5:$F$436,'All Transactions'!$D$5:$D$436,$A89,'All Transactions'!$A$5:$A$436,B$4)</f>
        <v>2630.0</v>
      </c>
      <c r="C89" s="3">
        <f>SUMIFS('All Transactions'!$F$5:$F$436,'All Transactions'!$D$5:$D$436,$A89,'All Transactions'!$A$5:$A$436,C$4)</f>
        <v>0</v>
      </c>
      <c r="D89" s="3">
        <f>SUMIFS('All Transactions'!$F$5:$F$436,'All Transactions'!$D$5:$D$436,$A89,'All Transactions'!$A$5:$A$436,D$4)</f>
        <v>728.0</v>
      </c>
      <c r="E89" s="3">
        <f>SUMIFS('All Transactions'!$F$5:$F$436,'All Transactions'!$D$5:$D$436,$A89,'All Transactions'!$A$5:$A$436,E$4)</f>
        <v>0</v>
      </c>
      <c r="F89" s="3">
        <f>SUM(B89:E89)</f>
        <v>3358.0</v>
      </c>
      <c r="G89" s="3">
        <f>F89/4</f>
        <v>839.5</v>
      </c>
    </row>
    <row r="90">
      <c r="A90" s="12" t="inlineStr">
        <is>
          <t xml:space="preserve">Transfer to Own WF Account</t>
        </is>
      </c>
      <c r="B90" s="3">
        <f>SUMIFS('All Transactions'!$F$5:$F$436,'All Transactions'!$D$5:$D$436,$A90,'All Transactions'!$A$5:$A$436,B$4)</f>
        <v>0</v>
      </c>
      <c r="C90" s="3">
        <f>SUMIFS('All Transactions'!$F$5:$F$436,'All Transactions'!$D$5:$D$436,$A90,'All Transactions'!$A$5:$A$436,C$4)</f>
        <v>3.26</v>
      </c>
      <c r="D90" s="3">
        <f>SUMIFS('All Transactions'!$F$5:$F$436,'All Transactions'!$D$5:$D$436,$A90,'All Transactions'!$A$5:$A$436,D$4)</f>
        <v>0</v>
      </c>
      <c r="E90" s="3">
        <f>SUMIFS('All Transactions'!$F$5:$F$436,'All Transactions'!$D$5:$D$436,$A90,'All Transactions'!$A$5:$A$436,E$4)</f>
        <v>0</v>
      </c>
      <c r="F90" s="3">
        <f>SUM(B90:E90)</f>
        <v>3.26</v>
      </c>
      <c r="G90" s="3">
        <f>F90/4</f>
        <v>0.81</v>
      </c>
    </row>
    <row r="91">
      <c r="A91" s="7" t="inlineStr">
        <is>
          <t xml:space="preserve">Total not counted as spending</t>
        </is>
      </c>
      <c r="B91" s="6">
        <f>SUM(B85:B90)</f>
        <v>5592.69</v>
      </c>
      <c r="C91" s="6">
        <f>SUM(C85:C90)</f>
        <v>13646.37</v>
      </c>
      <c r="D91" s="6">
        <f>SUM(D85:D90)</f>
        <v>7897.08</v>
      </c>
      <c r="E91" s="6">
        <f>SUM(E85:E90)</f>
        <v>7314.51</v>
      </c>
      <c r="F91" s="6">
        <f>SUM(F85:F90)</f>
        <v>34450.65</v>
      </c>
      <c r="G91" s="6">
        <f>SUM(G85:G90)</f>
        <v>8612.66</v>
      </c>
    </row>
    <row r="93">
      <c r="A93" s="12" t="inlineStr">
        <is>
          <t xml:space="preserve">Check: spending + not-counted items</t>
        </is>
      </c>
      <c r="B93" s="3">
        <f>B82+B91</f>
        <v>17341.81</v>
      </c>
      <c r="C93" s="3">
        <f>C82+C91</f>
        <v>25361.57</v>
      </c>
      <c r="D93" s="3">
        <f>D82+D91</f>
        <v>22983.72</v>
      </c>
      <c r="E93" s="3">
        <f>E82+E91</f>
        <v>18830.14</v>
      </c>
      <c r="F93" s="3">
        <f>F82+F91</f>
        <v>84517.24</v>
      </c>
    </row>
    <row r="94">
      <c r="A94" s="12" t="inlineStr">
        <is>
          <t xml:space="preserve">Withdrawals/Subtractions per bank statement</t>
        </is>
      </c>
      <c r="B94" s="13">
        <v>17341.81</v>
      </c>
      <c r="C94" s="13">
        <v>25361.57</v>
      </c>
      <c r="D94" s="13">
        <v>22983.72</v>
      </c>
      <c r="E94" s="13">
        <v>18830.14</v>
      </c>
      <c r="F94" s="3">
        <f>SUM(B94:E94)</f>
        <v>84517.24</v>
      </c>
    </row>
    <row r="95">
      <c r="A95" s="12" t="inlineStr">
        <is>
          <t xml:space="preserve">Difference (should be $0 = every dollar accounted for)</t>
        </is>
      </c>
      <c r="B95" s="3">
        <f>B93-B94</f>
        <v>0.0</v>
      </c>
      <c r="C95" s="3">
        <f>C93-C94</f>
        <v>0.0</v>
      </c>
      <c r="D95" s="3">
        <f>D93-D94</f>
        <v>0.0</v>
      </c>
      <c r="E95" s="3">
        <f>E93-E94</f>
        <v>0.0</v>
      </c>
      <c r="F95" s="3">
        <f>F93-F94</f>
        <v>0.0</v>
      </c>
    </row>
    <row r="97">
      <c r="A97" s="5" t="inlineStr">
        <is>
          <t xml:space="preserve">Key Bills at a Glance</t>
        </is>
      </c>
    </row>
    <row r="98">
      <c r="A98" s="15" t="inlineStr">
        <is>
          <t xml:space="preserve">Bill</t>
        </is>
      </c>
      <c r="B98" s="1" t="inlineStr">
        <is>
          <t xml:space="preserve">June 2026</t>
        </is>
      </c>
      <c r="C98" s="1" t="inlineStr">
        <is>
          <t xml:space="preserve">July 2026</t>
        </is>
      </c>
      <c r="D98" s="1" t="inlineStr">
        <is>
          <t xml:space="preserve">August 2026</t>
        </is>
      </c>
      <c r="E98" s="1" t="inlineStr">
        <is>
          <t xml:space="preserve">September 2026</t>
        </is>
      </c>
      <c r="F98" s="1" t="inlineStr">
        <is>
          <t xml:space="preserve">4-Month Total</t>
        </is>
      </c>
      <c r="G98" s="1" t="inlineStr">
        <is>
          <t xml:space="preserve">Monthly Avg</t>
        </is>
      </c>
    </row>
    <row r="99">
      <c r="A99" s="12" t="inlineStr">
        <is>
          <t xml:space="preserve">A&amp;D Mortgage</t>
        </is>
      </c>
      <c r="B99" s="3">
        <f>SUMIFS('All Transactions'!$F$5:$F$436,'All Transactions'!$D$5:$D$436,$A99,'All Transactions'!$A$5:$A$436,B$4)</f>
        <v>3411.1</v>
      </c>
      <c r="C99" s="3">
        <f>SUMIFS('All Transactions'!$F$5:$F$436,'All Transactions'!$D$5:$D$436,$A99,'All Transactions'!$A$5:$A$436,C$4)</f>
        <v>3411.1</v>
      </c>
      <c r="D99" s="3">
        <f>SUMIFS('All Transactions'!$F$5:$F$436,'All Transactions'!$D$5:$D$436,$A99,'All Transactions'!$A$5:$A$436,D$4)</f>
        <v>3411.1</v>
      </c>
      <c r="E99" s="3">
        <f>SUMIFS('All Transactions'!$F$5:$F$436,'All Transactions'!$D$5:$D$436,$A99,'All Transactions'!$A$5:$A$436,E$4)</f>
        <v>3411.1</v>
      </c>
      <c r="F99" s="3">
        <f>SUM(B99:E99)</f>
        <v>13644.4</v>
      </c>
      <c r="G99" s="3">
        <f>F99/4</f>
        <v>3411.1</v>
      </c>
    </row>
    <row r="100">
      <c r="A100" s="12" t="inlineStr">
        <is>
          <t xml:space="preserve">St. James Membership (Club)</t>
        </is>
      </c>
      <c r="B100" s="3">
        <f>SUMIFS('All Transactions'!$F$5:$F$436,'All Transactions'!$D$5:$D$436,$A100,'All Transactions'!$A$5:$A$436,B$4)</f>
        <v>1591.78</v>
      </c>
      <c r="C100" s="3">
        <f>SUMIFS('All Transactions'!$F$5:$F$436,'All Transactions'!$D$5:$D$436,$A100,'All Transactions'!$A$5:$A$436,C$4)</f>
        <v>1601.56</v>
      </c>
      <c r="D100" s="3">
        <f>SUMIFS('All Transactions'!$F$5:$F$436,'All Transactions'!$D$5:$D$436,$A100,'All Transactions'!$A$5:$A$436,D$4)</f>
        <v>1492.11</v>
      </c>
      <c r="E100" s="3">
        <f>SUMIFS('All Transactions'!$F$5:$F$436,'All Transactions'!$D$5:$D$436,$A100,'All Transactions'!$A$5:$A$436,E$4)</f>
        <v>1767.0</v>
      </c>
      <c r="F100" s="3">
        <f>SUM(B100:E100)</f>
        <v>6452.45</v>
      </c>
      <c r="G100" s="3">
        <f>F100/4</f>
        <v>1613.11</v>
      </c>
    </row>
    <row r="101">
      <c r="A101" s="12" t="inlineStr">
        <is>
          <t xml:space="preserve">St. James Plantation POA Dues</t>
        </is>
      </c>
      <c r="B101" s="3">
        <f>SUMIFS('All Transactions'!$F$5:$F$436,'All Transactions'!$D$5:$D$436,$A101,'All Transactions'!$A$5:$A$436,B$4)</f>
        <v>692.95</v>
      </c>
      <c r="C101" s="3">
        <f>SUMIFS('All Transactions'!$F$5:$F$436,'All Transactions'!$D$5:$D$436,$A101,'All Transactions'!$A$5:$A$436,C$4)</f>
        <v>0</v>
      </c>
      <c r="D101" s="3">
        <f>SUMIFS('All Transactions'!$F$5:$F$436,'All Transactions'!$D$5:$D$436,$A101,'All Transactions'!$A$5:$A$436,D$4)</f>
        <v>0</v>
      </c>
      <c r="E101" s="3">
        <f>SUMIFS('All Transactions'!$F$5:$F$436,'All Transactions'!$D$5:$D$436,$A101,'All Transactions'!$A$5:$A$436,E$4)</f>
        <v>0</v>
      </c>
      <c r="F101" s="3">
        <f>SUM(B101:E101)</f>
        <v>692.95</v>
      </c>
      <c r="G101" s="3">
        <f>F101/4</f>
        <v>173.24</v>
      </c>
    </row>
    <row r="102">
      <c r="A102" s="12" t="inlineStr">
        <is>
          <t xml:space="preserve">Allstate Insurance</t>
        </is>
      </c>
      <c r="B102" s="3">
        <f>SUMIFS('All Transactions'!$F$5:$F$436,'All Transactions'!$D$5:$D$436,$A102,'All Transactions'!$A$5:$A$436,B$4)</f>
        <v>360.42</v>
      </c>
      <c r="C102" s="3">
        <f>SUMIFS('All Transactions'!$F$5:$F$436,'All Transactions'!$D$5:$D$436,$A102,'All Transactions'!$A$5:$A$436,C$4)</f>
        <v>360.42</v>
      </c>
      <c r="D102" s="3">
        <f>SUMIFS('All Transactions'!$F$5:$F$436,'All Transactions'!$D$5:$D$436,$A102,'All Transactions'!$A$5:$A$436,D$4)</f>
        <v>475.42</v>
      </c>
      <c r="E102" s="3">
        <f>SUMIFS('All Transactions'!$F$5:$F$436,'All Transactions'!$D$5:$D$436,$A102,'All Transactions'!$A$5:$A$436,E$4)</f>
        <v>354.17</v>
      </c>
      <c r="F102" s="3">
        <f>SUM(B102:E102)</f>
        <v>1550.43</v>
      </c>
      <c r="G102" s="3">
        <f>F102/4</f>
        <v>387.61</v>
      </c>
    </row>
    <row r="103">
      <c r="A103" s="12" t="inlineStr">
        <is>
          <t xml:space="preserve">Life Insurance (Lincoln National)</t>
        </is>
      </c>
      <c r="B103" s="3">
        <f>SUMIFS('All Transactions'!$F$5:$F$436,'All Transactions'!$D$5:$D$436,$A103,'All Transactions'!$A$5:$A$436,B$4)</f>
        <v>79.21</v>
      </c>
      <c r="C103" s="3">
        <f>SUMIFS('All Transactions'!$F$5:$F$436,'All Transactions'!$D$5:$D$436,$A103,'All Transactions'!$A$5:$A$436,C$4)</f>
        <v>73.61</v>
      </c>
      <c r="D103" s="3">
        <f>SUMIFS('All Transactions'!$F$5:$F$436,'All Transactions'!$D$5:$D$436,$A103,'All Transactions'!$A$5:$A$436,D$4)</f>
        <v>73.61</v>
      </c>
      <c r="E103" s="3">
        <f>SUMIFS('All Transactions'!$F$5:$F$436,'All Transactions'!$D$5:$D$436,$A103,'All Transactions'!$A$5:$A$436,E$4)</f>
        <v>73.61</v>
      </c>
      <c r="F103" s="3">
        <f>SUM(B103:E103)</f>
        <v>300.04</v>
      </c>
      <c r="G103" s="3">
        <f>F103/4</f>
        <v>75.01</v>
      </c>
    </row>
    <row r="104">
      <c r="A104" s="12" t="inlineStr">
        <is>
          <t xml:space="preserve">Banner Life Insurance</t>
        </is>
      </c>
      <c r="B104" s="3">
        <f>SUMIFS('All Transactions'!$F$5:$F$436,'All Transactions'!$D$5:$D$436,$A104,'All Transactions'!$A$5:$A$436,B$4)</f>
        <v>710.06</v>
      </c>
      <c r="C104" s="3">
        <f>SUMIFS('All Transactions'!$F$5:$F$436,'All Transactions'!$D$5:$D$436,$A104,'All Transactions'!$A$5:$A$436,C$4)</f>
        <v>710.06</v>
      </c>
      <c r="D104" s="3">
        <f>SUMIFS('All Transactions'!$F$5:$F$436,'All Transactions'!$D$5:$D$436,$A104,'All Transactions'!$A$5:$A$436,D$4)</f>
        <v>710.06</v>
      </c>
      <c r="E104" s="3">
        <f>SUMIFS('All Transactions'!$F$5:$F$436,'All Transactions'!$D$5:$D$436,$A104,'All Transactions'!$A$5:$A$436,E$4)</f>
        <v>710.06</v>
      </c>
      <c r="F104" s="3">
        <f>SUM(B104:E104)</f>
        <v>2840.24</v>
      </c>
      <c r="G104" s="3">
        <f>F104/4</f>
        <v>710.06</v>
      </c>
    </row>
    <row r="105">
      <c r="A105" s="12" t="inlineStr">
        <is>
          <t xml:space="preserve">Verizon Wireless</t>
        </is>
      </c>
      <c r="B105" s="3">
        <f>SUMIFS('All Transactions'!$F$5:$F$436,'All Transactions'!$D$5:$D$436,$A105,'All Transactions'!$A$5:$A$436,B$4)</f>
        <v>294.57</v>
      </c>
      <c r="C105" s="3">
        <f>SUMIFS('All Transactions'!$F$5:$F$436,'All Transactions'!$D$5:$D$436,$A105,'All Transactions'!$A$5:$A$436,C$4)</f>
        <v>294.8</v>
      </c>
      <c r="D105" s="3">
        <f>SUMIFS('All Transactions'!$F$5:$F$436,'All Transactions'!$D$5:$D$436,$A105,'All Transactions'!$A$5:$A$436,D$4)</f>
        <v>436.02</v>
      </c>
      <c r="E105" s="3">
        <f>SUMIFS('All Transactions'!$F$5:$F$436,'All Transactions'!$D$5:$D$436,$A105,'All Transactions'!$A$5:$A$436,E$4)</f>
        <v>386.85</v>
      </c>
      <c r="F105" s="3">
        <f>SUM(B105:E105)</f>
        <v>1412.24</v>
      </c>
      <c r="G105" s="3">
        <f>F105/4</f>
        <v>353.06</v>
      </c>
    </row>
    <row r="106">
      <c r="A106" s="12" t="inlineStr">
        <is>
          <t xml:space="preserve">Utility – Electric (BEMC)</t>
        </is>
      </c>
      <c r="B106" s="3">
        <f>SUMIFS('All Transactions'!$F$5:$F$436,'All Transactions'!$D$5:$D$436,$A106,'All Transactions'!$A$5:$A$436,B$4)</f>
        <v>0</v>
      </c>
      <c r="C106" s="3">
        <f>SUMIFS('All Transactions'!$F$5:$F$436,'All Transactions'!$D$5:$D$436,$A106,'All Transactions'!$A$5:$A$436,C$4)</f>
        <v>336.35</v>
      </c>
      <c r="D106" s="3">
        <f>SUMIFS('All Transactions'!$F$5:$F$436,'All Transactions'!$D$5:$D$436,$A106,'All Transactions'!$A$5:$A$436,D$4)</f>
        <v>406.96</v>
      </c>
      <c r="E106" s="3">
        <f>SUMIFS('All Transactions'!$F$5:$F$436,'All Transactions'!$D$5:$D$436,$A106,'All Transactions'!$A$5:$A$436,E$4)</f>
        <v>419.66</v>
      </c>
      <c r="F106" s="3">
        <f>SUM(B106:E106)</f>
        <v>1162.97</v>
      </c>
      <c r="G106" s="3">
        <f>F106/4</f>
        <v>290.74</v>
      </c>
    </row>
    <row r="107">
      <c r="A107" s="12" t="inlineStr">
        <is>
          <t xml:space="preserve">Utility – Water/Sewer (Brunswick County)</t>
        </is>
      </c>
      <c r="B107" s="3">
        <f>SUMIFS('All Transactions'!$F$5:$F$436,'All Transactions'!$D$5:$D$436,$A107,'All Transactions'!$A$5:$A$436,B$4)</f>
        <v>78.84</v>
      </c>
      <c r="C107" s="3">
        <f>SUMIFS('All Transactions'!$F$5:$F$436,'All Transactions'!$D$5:$D$436,$A107,'All Transactions'!$A$5:$A$436,C$4)</f>
        <v>0</v>
      </c>
      <c r="D107" s="3">
        <f>SUMIFS('All Transactions'!$F$5:$F$436,'All Transactions'!$D$5:$D$436,$A107,'All Transactions'!$A$5:$A$436,D$4)</f>
        <v>179.33</v>
      </c>
      <c r="E107" s="3">
        <f>SUMIFS('All Transactions'!$F$5:$F$436,'All Transactions'!$D$5:$D$436,$A107,'All Transactions'!$A$5:$A$436,E$4)</f>
        <v>84.26</v>
      </c>
      <c r="F107" s="3">
        <f>SUM(B107:E107)</f>
        <v>342.43</v>
      </c>
      <c r="G107" s="3">
        <f>F107/4</f>
        <v>85.61</v>
      </c>
    </row>
    <row r="108">
      <c r="A108" s="12" t="inlineStr">
        <is>
          <t xml:space="preserve">Utility – Internet (Focus Broadband)</t>
        </is>
      </c>
      <c r="B108" s="3">
        <f>SUMIFS('All Transactions'!$F$5:$F$436,'All Transactions'!$D$5:$D$436,$A108,'All Transactions'!$A$5:$A$436,B$4)</f>
        <v>80.79</v>
      </c>
      <c r="C108" s="3">
        <f>SUMIFS('All Transactions'!$F$5:$F$436,'All Transactions'!$D$5:$D$436,$A108,'All Transactions'!$A$5:$A$436,C$4)</f>
        <v>0</v>
      </c>
      <c r="D108" s="3">
        <f>SUMIFS('All Transactions'!$F$5:$F$436,'All Transactions'!$D$5:$D$436,$A108,'All Transactions'!$A$5:$A$436,D$4)</f>
        <v>161.58</v>
      </c>
      <c r="E108" s="3">
        <f>SUMIFS('All Transactions'!$F$5:$F$436,'All Transactions'!$D$5:$D$436,$A108,'All Transactions'!$A$5:$A$436,E$4)</f>
        <v>80.79</v>
      </c>
      <c r="F108" s="3">
        <f>SUM(B108:E108)</f>
        <v>323.16</v>
      </c>
      <c r="G108" s="3">
        <f>F108/4</f>
        <v>80.79</v>
      </c>
    </row>
    <row r="109">
      <c r="A109" s="12" t="inlineStr">
        <is>
          <t xml:space="preserve">Restaurants &amp; Takeout</t>
        </is>
      </c>
      <c r="B109" s="3">
        <f>SUMIFS('All Transactions'!$F$5:$F$436,'All Transactions'!$D$5:$D$436,$A109,'All Transactions'!$A$5:$A$436,B$4)</f>
        <v>1019.45</v>
      </c>
      <c r="C109" s="3">
        <f>SUMIFS('All Transactions'!$F$5:$F$436,'All Transactions'!$D$5:$D$436,$A109,'All Transactions'!$A$5:$A$436,C$4)</f>
        <v>935.1</v>
      </c>
      <c r="D109" s="3">
        <f>SUMIFS('All Transactions'!$F$5:$F$436,'All Transactions'!$D$5:$D$436,$A109,'All Transactions'!$A$5:$A$436,D$4)</f>
        <v>962.62</v>
      </c>
      <c r="E109" s="3">
        <f>SUMIFS('All Transactions'!$F$5:$F$436,'All Transactions'!$D$5:$D$436,$A109,'All Transactions'!$A$5:$A$436,E$4)</f>
        <v>872.56</v>
      </c>
      <c r="F109" s="3">
        <f>SUM(B109:E109)</f>
        <v>3789.73</v>
      </c>
      <c r="G109" s="3">
        <f>F109/4</f>
        <v>947.43</v>
      </c>
    </row>
    <row r="110">
      <c r="A110" s="12" t="inlineStr">
        <is>
          <t xml:space="preserve">Gas &amp; Convenience Stores</t>
        </is>
      </c>
      <c r="B110" s="3">
        <f>SUMIFS('All Transactions'!$F$5:$F$436,'All Transactions'!$D$5:$D$436,$A110,'All Transactions'!$A$5:$A$436,B$4)</f>
        <v>108.9</v>
      </c>
      <c r="C110" s="3">
        <f>SUMIFS('All Transactions'!$F$5:$F$436,'All Transactions'!$D$5:$D$436,$A110,'All Transactions'!$A$5:$A$436,C$4)</f>
        <v>277.87</v>
      </c>
      <c r="D110" s="3">
        <f>SUMIFS('All Transactions'!$F$5:$F$436,'All Transactions'!$D$5:$D$436,$A110,'All Transactions'!$A$5:$A$436,D$4)</f>
        <v>167.24</v>
      </c>
      <c r="E110" s="3">
        <f>SUMIFS('All Transactions'!$F$5:$F$436,'All Transactions'!$D$5:$D$436,$A110,'All Transactions'!$A$5:$A$436,E$4)</f>
        <v>238.98</v>
      </c>
      <c r="F110" s="3">
        <f>SUM(B110:E110)</f>
        <v>792.99</v>
      </c>
      <c r="G110" s="3">
        <f>F110/4</f>
        <v>198.25</v>
      </c>
    </row>
    <row r="111">
      <c r="A111" s="12" t="inlineStr">
        <is>
          <t xml:space="preserve">Groceries</t>
        </is>
      </c>
      <c r="B111" s="3">
        <f>SUMIFS('All Transactions'!$F$5:$F$436,'All Transactions'!$D$5:$D$436,$A111,'All Transactions'!$A$5:$A$436,B$4)</f>
        <v>1529.75</v>
      </c>
      <c r="C111" s="3">
        <f>SUMIFS('All Transactions'!$F$5:$F$436,'All Transactions'!$D$5:$D$436,$A111,'All Transactions'!$A$5:$A$436,C$4)</f>
        <v>1279.24</v>
      </c>
      <c r="D111" s="3">
        <f>SUMIFS('All Transactions'!$F$5:$F$436,'All Transactions'!$D$5:$D$436,$A111,'All Transactions'!$A$5:$A$436,D$4)</f>
        <v>1190.12</v>
      </c>
      <c r="E111" s="3">
        <f>SUMIFS('All Transactions'!$F$5:$F$436,'All Transactions'!$D$5:$D$436,$A111,'All Transactions'!$A$5:$A$436,E$4)</f>
        <v>1202.5</v>
      </c>
      <c r="F111" s="3">
        <f>SUM(B111:E111)</f>
        <v>5201.61</v>
      </c>
      <c r="G111" s="3">
        <f>F111/4</f>
        <v>1300.4</v>
      </c>
    </row>
    <row r="113">
      <c r="A113" s="5" t="inlineStr">
        <is>
          <t xml:space="preserve">Notes &amp; assumptions</t>
        </is>
      </c>
    </row>
    <row r="114" ht="27" customHeight="1">
      <c r="A114" s="11" t="inlineStr">
        <is>
          <t xml:space="preserve">• "Month" = the bank statement period (June stmt 5/27–6/24, July 6/25–7/23, Aug 7/24–8/25, Sept 8/26–9/24), not the calendar month.</t>
        </is>
      </c>
    </row>
    <row r="115" ht="27" customHeight="1">
      <c r="A115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16" ht="27" customHeight="1">
      <c r="A116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17" ht="27" customHeight="1">
      <c r="A117" s="11" t="inlineStr">
        <is>
          <t xml:space="preserve">• Not counted as spending (per your instructions): WTW health premium ($2,576/mo, reimbursed by Via Benefits), American Express and Belk credit card payoffs, Sloane Realty, checks #101/102/103/518/520, and a $3.26 transfer to your own Wells Fargo account. They are listed in their own section so the sheet still ties to the bank statement.</t>
        </is>
      </c>
    </row>
    <row r="118" ht="27" customHeight="1">
      <c r="A118" s="11" t="inlineStr">
        <is>
          <t xml:space="preserve">• Utilities identified: BEMC = Brunswick Electric Membership Corp (electric); OPC*Brunswick CO U = Brunswick County Utilities (water/sewer) + $2.95 online-payment fee; Focus Broadband (internet). Verizon Wireless shown separately.</t>
        </is>
      </c>
    </row>
    <row r="119" ht="27" customHeight="1">
      <c r="A119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20" ht="27" customHeight="1">
      <c r="A120" s="11" t="inlineStr">
        <is>
          <t xml:space="preserve">• Gas &amp; Convenience includes everything bought at gas stations (fuel and snacks can't be separated). Small hospital-cafeteria charges (Granville Med, Duke) are counted as Restaurants.</t>
        </is>
      </c>
    </row>
  </sheetData>
  <mergeCells count="7">
    <mergeCell ref="A114:G114"/>
    <mergeCell ref="A115:G115"/>
    <mergeCell ref="A116:G116"/>
    <mergeCell ref="A117:G117"/>
    <mergeCell ref="A118:G118"/>
    <mergeCell ref="A119:G119"/>
    <mergeCell ref="A120:G120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Groceries</t>
        </is>
      </c>
      <c r="H6" s="3">
        <f>SUMIF($C$4:$C$119,G6,$E$4:$E$119)</f>
        <v>1529.75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Credit Card Payoff – Belk (Synchrony)</t>
        </is>
      </c>
      <c r="D8" s="2" t="inlineStr">
        <is>
          <t xml:space="preserve">Excluded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TV</t>
        </is>
      </c>
      <c r="D9" s="2" t="inlineStr">
        <is>
          <t xml:space="preserve">Subscriptions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TV</t>
        </is>
      </c>
      <c r="D10" s="2" t="inlineStr">
        <is>
          <t xml:space="preserve">Subscriptions</t>
        </is>
      </c>
      <c r="E10" s="3">
        <v>11.78</v>
      </c>
      <c r="G10" s="2" t="inlineStr">
        <is>
          <t xml:space="preserve">Personal Care (Hair, Beauty)</t>
        </is>
      </c>
      <c r="H10" s="3">
        <f>SUMIF($C$4:$C$119,G10,$E$4:$E$119)</f>
        <v>368.52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TV</t>
        </is>
      </c>
      <c r="D11" s="2" t="inlineStr">
        <is>
          <t xml:space="preserve">Subscriptions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Groceries</t>
        </is>
      </c>
      <c r="D12" s="2" t="inlineStr">
        <is>
          <t xml:space="preserve">Food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Health Insurance – Blue Cross NC</t>
        </is>
      </c>
      <c r="H13" s="3">
        <f>SUMIF($C$4:$C$119,G13,$E$4:$E$119)</f>
        <v>216.25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Shopping &amp; Household</t>
        </is>
      </c>
      <c r="H14" s="3">
        <f>SUMIF($C$4:$C$119,G14,$E$4:$E$119)</f>
        <v>215.04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Shopping &amp; Household</t>
        </is>
      </c>
      <c r="D15" s="2" t="inlineStr">
        <is>
          <t xml:space="preserve">Shopping</t>
        </is>
      </c>
      <c r="E15" s="3">
        <v>41.63</v>
      </c>
      <c r="G15" s="2" t="inlineStr">
        <is>
          <t xml:space="preserve">Streaming TV</t>
        </is>
      </c>
      <c r="H15" s="3">
        <f>SUMIF($C$4:$C$119,G15,$E$4:$E$119)</f>
        <v>188.8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Student Loan (Dept of Education)</t>
        </is>
      </c>
      <c r="H16" s="3">
        <f>SUMIF($C$4:$C$119,G16,$E$4:$E$119)</f>
        <v>160.37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Medical &amp; Pharmacy</t>
        </is>
      </c>
      <c r="H17" s="3">
        <f>SUMIF($C$4:$C$119,G17,$E$4:$E$119)</f>
        <v>160.07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Personal Care (Hair, Beauty)</t>
        </is>
      </c>
      <c r="D18" s="2" t="inlineStr">
        <is>
          <t xml:space="preserve">Personal</t>
        </is>
      </c>
      <c r="E18" s="3">
        <v>51.31</v>
      </c>
      <c r="G18" s="2" t="inlineStr">
        <is>
          <t xml:space="preserve">Software &amp; Online Subscriptions</t>
        </is>
      </c>
      <c r="H18" s="3">
        <f>SUMIF($C$4:$C$119,G18,$E$4:$E$119)</f>
        <v>141.73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Personal Care (Hair, Beauty)</t>
        </is>
      </c>
      <c r="D19" s="2" t="inlineStr">
        <is>
          <t xml:space="preserve">Personal</t>
        </is>
      </c>
      <c r="E19" s="3">
        <v>97.35</v>
      </c>
      <c r="G19" s="2" t="inlineStr">
        <is>
          <t xml:space="preserve">Gas &amp; Convenience Stores</t>
        </is>
      </c>
      <c r="H19" s="3">
        <f>SUMIF($C$4:$C$119,G19,$E$4:$E$119)</f>
        <v>108.9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Travel (Lyft, Hotel)</t>
        </is>
      </c>
      <c r="H20" s="3">
        <f>SUMIF($C$4:$C$119,G20,$E$4:$E$119)</f>
        <v>102.65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Groceries</t>
        </is>
      </c>
      <c r="D21" s="2" t="inlineStr">
        <is>
          <t xml:space="preserve">Food</t>
        </is>
      </c>
      <c r="E21" s="3">
        <v>37.15</v>
      </c>
      <c r="G21" s="2" t="inlineStr">
        <is>
          <t xml:space="preserve">Utility – Internet (Focus Broadband)</t>
        </is>
      </c>
      <c r="H21" s="3">
        <f>SUMIF($C$4:$C$119,G21,$E$4:$E$119)</f>
        <v>80.79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Life Insurance (Lincoln National)</t>
        </is>
      </c>
      <c r="H22" s="3">
        <f>SUMIF($C$4:$C$119,G22,$E$4:$E$119)</f>
        <v>79.21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Utility – Water/Sewer (Brunswick County)</t>
        </is>
      </c>
      <c r="H23" s="3">
        <f>SUMIF($C$4:$C$119,G23,$E$4:$E$119)</f>
        <v>78.84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Transfers to People (Venmo/Zelle)</t>
        </is>
      </c>
      <c r="H24" s="3">
        <f>SUMIF($C$4:$C$119,G24,$E$4:$E$119)</f>
        <v>75.0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Dental Insurance – Delta Dental</t>
        </is>
      </c>
      <c r="H25" s="3">
        <f>SUMIF($C$4:$C$119,G25,$E$4:$E$119)</f>
        <v>69.36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Yard Company (NextGen)</t>
        </is>
      </c>
      <c r="H26" s="3">
        <f>SUMIF($C$4:$C$119,G26,$E$4:$E$119)</f>
        <v>60.0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Home Improvement (Lowe's)</t>
        </is>
      </c>
      <c r="H27" s="3">
        <f>SUMIF($C$4:$C$119,G27,$E$4:$E$119)</f>
        <v>27.67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Tolls &amp; Parking</t>
        </is>
      </c>
      <c r="H28" s="3">
        <f>SUMIF($C$4:$C$119,G28,$E$4:$E$119)</f>
        <v>5.84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8" t="inlineStr">
        <is>
          <t xml:space="preserve">Total spending</t>
        </is>
      </c>
      <c r="H29" s="9">
        <f>SUM(H4:H28)</f>
        <v>11749.12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Groceries</t>
        </is>
      </c>
      <c r="D30" s="2" t="inlineStr">
        <is>
          <t xml:space="preserve">Food</t>
        </is>
      </c>
      <c r="E30" s="3">
        <v>225.23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7" t="inlineStr">
        <is>
          <t xml:space="preserve">Not counted as spending</t>
        </is>
      </c>
      <c r="H31" s="7"/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TV</t>
        </is>
      </c>
      <c r="D32" s="2" t="inlineStr">
        <is>
          <t xml:space="preserve">Subscriptions</t>
        </is>
      </c>
      <c r="E32" s="3">
        <v>22.41</v>
      </c>
      <c r="G32" s="2" t="inlineStr">
        <is>
          <t xml:space="preserve">Checks Written (payee not shown)</t>
        </is>
      </c>
      <c r="H32" s="3">
        <f>SUMIF($C$4:$C$119,G32,$E$4:$E$119)</f>
        <v>2630.0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Personal Care (Hair, Beauty)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Credit Card Payoff – Belk (Synchrony)</t>
        </is>
      </c>
      <c r="H33" s="3">
        <f>SUMIF($C$4:$C$119,G33,$E$4:$E$119)</f>
        <v>386.69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WTW Health Premium (reimbursed by Via Benefits)</t>
        </is>
      </c>
      <c r="H34" s="3">
        <f>SUMIF($C$4:$C$119,G34,$E$4:$E$119)</f>
        <v>2576.0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Home Improvement (Lowe's)</t>
        </is>
      </c>
      <c r="D38" s="2" t="inlineStr">
        <is>
          <t xml:space="preserve">Home</t>
        </is>
      </c>
      <c r="E38" s="3">
        <v>27.67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Utility – Internet (Focus Broadband)</t>
        </is>
      </c>
      <c r="D45" s="2" t="inlineStr">
        <is>
          <t xml:space="preserve">Utilities</t>
        </is>
      </c>
      <c r="E45" s="3">
        <v>80.79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Shopping &amp; Household</t>
        </is>
      </c>
      <c r="D51" s="2" t="inlineStr">
        <is>
          <t xml:space="preserve">Shopping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Personal Care (Hair, Beauty)</t>
        </is>
      </c>
      <c r="D52" s="2" t="inlineStr">
        <is>
          <t xml:space="preserve">Personal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Groceries</t>
        </is>
      </c>
      <c r="D57" s="2" t="inlineStr">
        <is>
          <t xml:space="preserve">Food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Groceries</t>
        </is>
      </c>
      <c r="D64" s="2" t="inlineStr">
        <is>
          <t xml:space="preserve">Food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TV</t>
        </is>
      </c>
      <c r="D65" s="2" t="inlineStr">
        <is>
          <t xml:space="preserve">Subscriptions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Debt Payments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Groceries</t>
        </is>
      </c>
      <c r="D69" s="2" t="inlineStr">
        <is>
          <t xml:space="preserve">Food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Groceries</t>
        </is>
      </c>
      <c r="D74" s="2" t="inlineStr">
        <is>
          <t xml:space="preserve">Food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Groceries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Groceries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Shopping &amp; Household</t>
        </is>
      </c>
      <c r="D82" s="2" t="inlineStr">
        <is>
          <t xml:space="preserve">Shopping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Shopping &amp; Household</t>
        </is>
      </c>
      <c r="D83" s="2" t="inlineStr">
        <is>
          <t xml:space="preserve">Shopping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Groceries</t>
        </is>
      </c>
      <c r="D84" s="2" t="inlineStr">
        <is>
          <t xml:space="preserve">Food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Shopping &amp; Household</t>
        </is>
      </c>
      <c r="D85" s="2" t="inlineStr">
        <is>
          <t xml:space="preserve">Shopping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TV</t>
        </is>
      </c>
      <c r="D110" s="2" t="inlineStr">
        <is>
          <t xml:space="preserve">Subscriptions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Medical &amp;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TV</t>
        </is>
      </c>
      <c r="D112" s="2" t="inlineStr">
        <is>
          <t xml:space="preserve">Subscriptions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Medical &amp;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Groceries</t>
        </is>
      </c>
      <c r="D114" s="2" t="inlineStr">
        <is>
          <t xml:space="preserve">Food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Utilities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Personal Care (Hair, Beauty)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11749.12</v>
      </c>
    </row>
    <row r="121">
      <c r="D121" s="7" t="inlineStr">
        <is>
          <t xml:space="preserve">Not counted (Excluded)</t>
        </is>
      </c>
      <c r="E121" s="6">
        <f>SUMIF(D4:D119,"Excluded",E4:E119)</f>
        <v>5592.69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Groceries</t>
        </is>
      </c>
      <c r="H6" s="3">
        <f>SUMIF($C$4:$C$127,G6,$E$4:$E$127)</f>
        <v>1279.24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Restaurants &amp; Takeout</t>
        </is>
      </c>
      <c r="H7" s="3">
        <f>SUMIF($C$4:$C$127,G7,$E$4:$E$127)</f>
        <v>935.1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TV</t>
        </is>
      </c>
      <c r="D8" s="2" t="inlineStr">
        <is>
          <t xml:space="preserve">Subscriptions</t>
        </is>
      </c>
      <c r="E8" s="3">
        <v>12.8</v>
      </c>
      <c r="G8" s="2" t="inlineStr">
        <is>
          <t xml:space="preserve">Transfers to People (Venmo/Zelle)</t>
        </is>
      </c>
      <c r="H8" s="3">
        <f>SUMIF($C$4:$C$127,G8,$E$4:$E$127)</f>
        <v>764.05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Banner Life Insurance</t>
        </is>
      </c>
      <c r="H9" s="3">
        <f>SUMIF($C$4:$C$127,G9,$E$4:$E$127)</f>
        <v>710.06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Groceries</t>
        </is>
      </c>
      <c r="D10" s="2" t="inlineStr">
        <is>
          <t xml:space="preserve">Food</t>
        </is>
      </c>
      <c r="E10" s="3">
        <v>2.14</v>
      </c>
      <c r="G10" s="2" t="inlineStr">
        <is>
          <t xml:space="preserve">Entertainment &amp; Events</t>
        </is>
      </c>
      <c r="H10" s="3">
        <f>SUMIF($C$4:$C$127,G10,$E$4:$E$127)</f>
        <v>400.0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Allstate Insurance</t>
        </is>
      </c>
      <c r="H11" s="3">
        <f>SUMIF($C$4:$C$127,G11,$E$4:$E$127)</f>
        <v>360.42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Utility – Electric (BEMC)</t>
        </is>
      </c>
      <c r="H12" s="3">
        <f>SUMIF($C$4:$C$127,G12,$E$4:$E$127)</f>
        <v>336.35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Verizon Wireless</t>
        </is>
      </c>
      <c r="H13" s="3">
        <f>SUMIF($C$4:$C$127,G13,$E$4:$E$127)</f>
        <v>294.8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Gas &amp; Convenience Stores</t>
        </is>
      </c>
      <c r="H14" s="3">
        <f>SUMIF($C$4:$C$127,G14,$E$4:$E$127)</f>
        <v>277.87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Home Services (Cleaning, Pest, Lawn)</t>
        </is>
      </c>
      <c r="H15" s="3">
        <f>SUMIF($C$4:$C$127,G15,$E$4:$E$127)</f>
        <v>242.05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Shopping &amp; Household</t>
        </is>
      </c>
      <c r="H16" s="3">
        <f>SUMIF($C$4:$C$127,G16,$E$4:$E$127)</f>
        <v>202.14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Streaming TV</t>
        </is>
      </c>
      <c r="H17" s="3">
        <f>SUMIF($C$4:$C$127,G17,$E$4:$E$127)</f>
        <v>201.6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Software &amp; Online Subscriptions</t>
        </is>
      </c>
      <c r="H18" s="3">
        <f>SUMIF($C$4:$C$127,G18,$E$4:$E$127)</f>
        <v>161.05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Student Loan (Dept of Education)</t>
        </is>
      </c>
      <c r="H19" s="3">
        <f>SUMIF($C$4:$C$127,G19,$E$4:$E$127)</f>
        <v>160.37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Medical &amp; Pharmacy</t>
        </is>
      </c>
      <c r="H20" s="3">
        <f>SUMIF($C$4:$C$127,G20,$E$4:$E$127)</f>
        <v>100.93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Yard Company (NextGen)</t>
        </is>
      </c>
      <c r="H21" s="3">
        <f>SUMIF($C$4:$C$127,G21,$E$4:$E$127)</f>
        <v>100.0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Life Insurance (Lincoln National)</t>
        </is>
      </c>
      <c r="H22" s="3">
        <f>SUMIF($C$4:$C$127,G22,$E$4:$E$127)</f>
        <v>73.61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Groceries</t>
        </is>
      </c>
      <c r="D23" s="2" t="inlineStr">
        <is>
          <t xml:space="preserve">Food</t>
        </is>
      </c>
      <c r="E23" s="3">
        <v>41.57</v>
      </c>
      <c r="G23" s="2" t="inlineStr">
        <is>
          <t xml:space="preserve">Dental Insurance – Delta Dental</t>
        </is>
      </c>
      <c r="H23" s="3">
        <f>SUMIF($C$4:$C$127,G23,$E$4:$E$127)</f>
        <v>69.36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St. James Marina</t>
        </is>
      </c>
      <c r="H24" s="3">
        <f>SUMIF($C$4:$C$127,G24,$E$4:$E$127)</f>
        <v>33.54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Groceries</t>
        </is>
      </c>
      <c r="D25" s="2" t="inlineStr">
        <is>
          <t xml:space="preserve">Food</t>
        </is>
      </c>
      <c r="E25" s="3">
        <v>93.02</v>
      </c>
      <c r="G25" s="8" t="inlineStr">
        <is>
          <t xml:space="preserve">Total spending</t>
        </is>
      </c>
      <c r="H25" s="9">
        <f>SUM(H4:H24)</f>
        <v>11715.2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TV</t>
        </is>
      </c>
      <c r="D26" s="2" t="inlineStr">
        <is>
          <t xml:space="preserve">Subscriptions</t>
        </is>
      </c>
      <c r="E26" s="3">
        <v>89.0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TV</t>
        </is>
      </c>
      <c r="D27" s="2" t="inlineStr">
        <is>
          <t xml:space="preserve">Subscriptions</t>
        </is>
      </c>
      <c r="E27" s="3">
        <v>11.78</v>
      </c>
      <c r="G27" s="7" t="inlineStr">
        <is>
          <t xml:space="preserve">Not counted as spending</t>
        </is>
      </c>
      <c r="H27" s="7"/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TV</t>
        </is>
      </c>
      <c r="D28" s="2" t="inlineStr">
        <is>
          <t xml:space="preserve">Subscriptions</t>
        </is>
      </c>
      <c r="E28" s="3">
        <v>20.27</v>
      </c>
      <c r="G28" s="2" t="inlineStr">
        <is>
          <t xml:space="preserve">Credit Card Payoff – American Express</t>
        </is>
      </c>
      <c r="H28" s="3">
        <f>SUMIF($C$4:$C$127,G28,$E$4:$E$127)</f>
        <v>7227.09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Credit Card Payoff – Belk (Synchrony)</t>
        </is>
      </c>
      <c r="H29" s="3">
        <f>SUMIF($C$4:$C$127,G29,$E$4:$E$127)</f>
        <v>948.04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Shopping &amp; Household</t>
        </is>
      </c>
      <c r="D30" s="2" t="inlineStr">
        <is>
          <t xml:space="preserve">Shopping</t>
        </is>
      </c>
      <c r="E30" s="3">
        <v>57.43</v>
      </c>
      <c r="G30" s="2" t="inlineStr">
        <is>
          <t xml:space="preserve">Sloane Realty</t>
        </is>
      </c>
      <c r="H30" s="3">
        <f>SUMIF($C$4:$C$127,G30,$E$4:$E$127)</f>
        <v>2891.98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Medical &amp;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Transfer to Own WF Account</t>
        </is>
      </c>
      <c r="H31" s="3">
        <f>SUMIF($C$4:$C$127,G31,$E$4:$E$127)</f>
        <v>3.26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Shopping &amp; Household</t>
        </is>
      </c>
      <c r="D32" s="2" t="inlineStr">
        <is>
          <t xml:space="preserve">Shopping</t>
        </is>
      </c>
      <c r="E32" s="3">
        <v>19.06</v>
      </c>
      <c r="G32" s="2" t="inlineStr">
        <is>
          <t xml:space="preserve">WTW Health Premium (reimbursed by Via Benefits)</t>
        </is>
      </c>
      <c r="H32" s="3">
        <f>SUMIF($C$4:$C$127,G32,$E$4:$E$127)</f>
        <v>2576.0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10.1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Groceries</t>
        </is>
      </c>
      <c r="D34" s="2" t="inlineStr">
        <is>
          <t xml:space="preserve">Food</t>
        </is>
      </c>
      <c r="E34" s="3">
        <v>18.98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8.85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Shopping &amp; Household</t>
        </is>
      </c>
      <c r="D39" s="2" t="inlineStr">
        <is>
          <t xml:space="preserve">Shopping</t>
        </is>
      </c>
      <c r="E39" s="3">
        <v>12.21</v>
      </c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Restaurants &amp; Takeout</t>
        </is>
      </c>
      <c r="D42" s="2" t="inlineStr">
        <is>
          <t xml:space="preserve">Food</t>
        </is>
      </c>
      <c r="E42" s="3">
        <v>6.21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Groceries</t>
        </is>
      </c>
      <c r="D45" s="2" t="inlineStr">
        <is>
          <t xml:space="preserve">Food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Groceries</t>
        </is>
      </c>
      <c r="D49" s="2" t="inlineStr">
        <is>
          <t xml:space="preserve">Food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TV</t>
        </is>
      </c>
      <c r="D50" s="2" t="inlineStr">
        <is>
          <t xml:space="preserve">Subscriptions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Shopping &amp; Household</t>
        </is>
      </c>
      <c r="D57" s="2" t="inlineStr">
        <is>
          <t xml:space="preserve">Shopping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Groceries</t>
        </is>
      </c>
      <c r="D58" s="2" t="inlineStr">
        <is>
          <t xml:space="preserve">Food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Groceries</t>
        </is>
      </c>
      <c r="D62" s="2" t="inlineStr">
        <is>
          <t xml:space="preserve">Food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Groceries</t>
        </is>
      </c>
      <c r="D63" s="2" t="inlineStr">
        <is>
          <t xml:space="preserve">Food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Shopping &amp; Household</t>
        </is>
      </c>
      <c r="D66" s="2" t="inlineStr">
        <is>
          <t xml:space="preserve">Shopping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Medical &amp;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Groceries</t>
        </is>
      </c>
      <c r="D69" s="2" t="inlineStr">
        <is>
          <t xml:space="preserve">Food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Credit Card Payoff – Belk (Synchrony)</t>
        </is>
      </c>
      <c r="D70" s="2" t="inlineStr">
        <is>
          <t xml:space="preserve">Excluded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TV</t>
        </is>
      </c>
      <c r="D76" s="2" t="inlineStr">
        <is>
          <t xml:space="preserve">Subscriptions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Groceries</t>
        </is>
      </c>
      <c r="D77" s="2" t="inlineStr">
        <is>
          <t xml:space="preserve">Food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(Cleaning, Pest, Lawn)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Groceries</t>
        </is>
      </c>
      <c r="D89" s="2" t="inlineStr">
        <is>
          <t xml:space="preserve">Food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Groceries</t>
        </is>
      </c>
      <c r="D91" s="2" t="inlineStr">
        <is>
          <t xml:space="preserve">Food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Credit Card Payoff – Belk (Synchrony)</t>
        </is>
      </c>
      <c r="D92" s="2" t="inlineStr">
        <is>
          <t xml:space="preserve">Excluded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Groceries</t>
        </is>
      </c>
      <c r="D99" s="2" t="inlineStr">
        <is>
          <t xml:space="preserve">Food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Groceries</t>
        </is>
      </c>
      <c r="D101" s="2" t="inlineStr">
        <is>
          <t xml:space="preserve">Food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Groceries</t>
        </is>
      </c>
      <c r="D103" s="2" t="inlineStr">
        <is>
          <t xml:space="preserve">Food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Groceries</t>
        </is>
      </c>
      <c r="D109" s="2" t="inlineStr">
        <is>
          <t xml:space="preserve">Food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Medical &amp;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Groceries</t>
        </is>
      </c>
      <c r="D117" s="2" t="inlineStr">
        <is>
          <t xml:space="preserve">Food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Utilities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TV</t>
        </is>
      </c>
      <c r="D119" s="2" t="inlineStr">
        <is>
          <t xml:space="preserve">Subscriptions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TV</t>
        </is>
      </c>
      <c r="D123" s="2" t="inlineStr">
        <is>
          <t xml:space="preserve">Subscriptions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Home Services (Cleaning, Pest, Lawn)</t>
        </is>
      </c>
      <c r="D126" s="2" t="inlineStr">
        <is>
          <t xml:space="preserve">Home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Shopping &amp; Household</t>
        </is>
      </c>
      <c r="D127" s="2" t="inlineStr">
        <is>
          <t xml:space="preserve">Shopping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11715.2</v>
      </c>
    </row>
    <row r="129">
      <c r="D129" s="7" t="inlineStr">
        <is>
          <t xml:space="preserve">Not counted (Excluded)</t>
        </is>
      </c>
      <c r="E129" s="6">
        <f>SUMIF(D4:D127,"Excluded",E4:E127)</f>
        <v>13646.37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Shopping &amp; Household</t>
        </is>
      </c>
      <c r="H5" s="3">
        <f>SUMIF($C$4:$C$110,G5,$E$4:$E$110)</f>
        <v>2208.92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Groceries</t>
        </is>
      </c>
      <c r="H7" s="3">
        <f>SUMIF($C$4:$C$110,G7,$E$4:$E$110)</f>
        <v>1190.12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Restaurants &amp; Takeout</t>
        </is>
      </c>
      <c r="H8" s="3">
        <f>SUMIF($C$4:$C$110,G8,$E$4:$E$110)</f>
        <v>962.62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Medical &amp; Pharmacy</t>
        </is>
      </c>
      <c r="H9" s="3">
        <f>SUMIF($C$4:$C$110,G9,$E$4:$E$110)</f>
        <v>850.9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Banner Life Insurance</t>
        </is>
      </c>
      <c r="H10" s="3">
        <f>SUMIF($C$4:$C$110,G10,$E$4:$E$110)</f>
        <v>710.06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TV</t>
        </is>
      </c>
      <c r="D11" s="2" t="inlineStr">
        <is>
          <t xml:space="preserve">Subscriptions</t>
        </is>
      </c>
      <c r="E11" s="3">
        <v>12.8</v>
      </c>
      <c r="G11" s="2" t="inlineStr">
        <is>
          <t xml:space="preserve">Home Services (Cleaning, Pest, Lawn)</t>
        </is>
      </c>
      <c r="H11" s="3">
        <f>SUMIF($C$4:$C$110,G11,$E$4:$E$110)</f>
        <v>536.6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Groceries</t>
        </is>
      </c>
      <c r="D12" s="2" t="inlineStr">
        <is>
          <t xml:space="preserve">Food</t>
        </is>
      </c>
      <c r="E12" s="3">
        <v>85.7</v>
      </c>
      <c r="G12" s="2" t="inlineStr">
        <is>
          <t xml:space="preserve">Allstate Insurance</t>
        </is>
      </c>
      <c r="H12" s="3">
        <f>SUMIF($C$4:$C$110,G12,$E$4:$E$110)</f>
        <v>475.42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Verizon Wireless</t>
        </is>
      </c>
      <c r="H13" s="3">
        <f>SUMIF($C$4:$C$110,G13,$E$4:$E$110)</f>
        <v>436.02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Personal Care (Hair, Beauty)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Health Insurance – Blue Cross NC</t>
        </is>
      </c>
      <c r="H14" s="3">
        <f>SUMIF($C$4:$C$110,G14,$E$4:$E$110)</f>
        <v>432.5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Utility – Electric (BEMC)</t>
        </is>
      </c>
      <c r="H15" s="3">
        <f>SUMIF($C$4:$C$110,G15,$E$4:$E$110)</f>
        <v>406.96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Utility – Internet (Focus Broadband)</t>
        </is>
      </c>
      <c r="D16" s="2" t="inlineStr">
        <is>
          <t xml:space="preserve">Utilities</t>
        </is>
      </c>
      <c r="E16" s="3">
        <v>80.79</v>
      </c>
      <c r="G16" s="2" t="inlineStr">
        <is>
          <t xml:space="preserve">Transfers to People (Venmo/Zelle)</t>
        </is>
      </c>
      <c r="H16" s="3">
        <f>SUMIF($C$4:$C$110,G16,$E$4:$E$110)</f>
        <v>331.5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&amp; Pharmacy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Yard Company (NextGen)</t>
        </is>
      </c>
      <c r="H17" s="3">
        <f>SUMIF($C$4:$C$110,G17,$E$4:$E$110)</f>
        <v>220.0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Personal Care (Hair, Beauty)</t>
        </is>
      </c>
      <c r="H18" s="3">
        <f>SUMIF($C$4:$C$110,G18,$E$4:$E$110)</f>
        <v>182.5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Utility – Water/Sewer (Brunswick County)</t>
        </is>
      </c>
      <c r="H19" s="3">
        <f>SUMIF($C$4:$C$110,G19,$E$4:$E$110)</f>
        <v>179.33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Home Improvement (Lowe's)</t>
        </is>
      </c>
      <c r="H20" s="3">
        <f>SUMIF($C$4:$C$110,G20,$E$4:$E$110)</f>
        <v>171.55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(Cleaning, Pest, Lawn)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Gas &amp; Convenience Stores</t>
        </is>
      </c>
      <c r="H21" s="3">
        <f>SUMIF($C$4:$C$110,G21,$E$4:$E$110)</f>
        <v>167.24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TV</t>
        </is>
      </c>
      <c r="D22" s="2" t="inlineStr">
        <is>
          <t xml:space="preserve">Subscriptions</t>
        </is>
      </c>
      <c r="E22" s="3">
        <v>89.0</v>
      </c>
      <c r="G22" s="2" t="inlineStr">
        <is>
          <t xml:space="preserve">Utility – Internet (Focus Broadband)</t>
        </is>
      </c>
      <c r="H22" s="3">
        <f>SUMIF($C$4:$C$110,G22,$E$4:$E$110)</f>
        <v>161.58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Student Loan (Dept of Education)</t>
        </is>
      </c>
      <c r="H23" s="3">
        <f>SUMIF($C$4:$C$110,G23,$E$4:$E$110)</f>
        <v>160.37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Groceries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Streaming TV</t>
        </is>
      </c>
      <c r="H24" s="3">
        <f>SUMIF($C$4:$C$110,G24,$E$4:$E$110)</f>
        <v>158.35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TV</t>
        </is>
      </c>
      <c r="D25" s="2" t="inlineStr">
        <is>
          <t xml:space="preserve">Subscriptions</t>
        </is>
      </c>
      <c r="E25" s="3">
        <v>20.27</v>
      </c>
      <c r="G25" s="2" t="inlineStr">
        <is>
          <t xml:space="preserve">Life Insurance (Lincoln National)</t>
        </is>
      </c>
      <c r="H25" s="3">
        <f>SUMIF($C$4:$C$110,G25,$E$4:$E$110)</f>
        <v>73.61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Dental Insurance – Delta Dental</t>
        </is>
      </c>
      <c r="H26" s="3">
        <f>SUMIF($C$4:$C$110,G26,$E$4:$E$110)</f>
        <v>69.36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Software &amp; Online Subscriptions</t>
        </is>
      </c>
      <c r="H27" s="3">
        <f>SUMIF($C$4:$C$110,G27,$E$4:$E$110)</f>
        <v>65.98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Tolls &amp; Parking</t>
        </is>
      </c>
      <c r="H28" s="3">
        <f>SUMIF($C$4:$C$110,G28,$E$4:$E$110)</f>
        <v>18.44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Entertainment &amp; Events</t>
        </is>
      </c>
      <c r="H29" s="3">
        <f>SUMIF($C$4:$C$110,G29,$E$4:$E$110)</f>
        <v>13.5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8" t="inlineStr">
        <is>
          <t xml:space="preserve">Total spending</t>
        </is>
      </c>
      <c r="H30" s="9">
        <f>SUM(H4:H29)</f>
        <v>15086.64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7" t="inlineStr">
        <is>
          <t xml:space="preserve">Not counted as spending</t>
        </is>
      </c>
      <c r="H32" s="7"/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Checks Written (payee not shown)</t>
        </is>
      </c>
      <c r="H33" s="3">
        <f>SUMIF($C$4:$C$110,G33,$E$4:$E$110)</f>
        <v>728.0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Credit Card Payoff – American Express</t>
        </is>
      </c>
      <c r="H34" s="3">
        <f>SUMIF($C$4:$C$110,G34,$E$4:$E$110)</f>
        <v>4593.08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WTW Health Premium (reimbursed by Via Benefits)</t>
        </is>
      </c>
      <c r="H35" s="3">
        <f>SUMIF($C$4:$C$110,G35,$E$4:$E$110)</f>
        <v>2576.0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Medical &amp; Pharmacy</t>
        </is>
      </c>
      <c r="D36" s="2" t="inlineStr">
        <is>
          <t xml:space="preserve">Health</t>
        </is>
      </c>
      <c r="E36" s="3">
        <v>202.55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Shopping &amp; Household</t>
        </is>
      </c>
      <c r="D37" s="2" t="inlineStr">
        <is>
          <t xml:space="preserve">Shopping</t>
        </is>
      </c>
      <c r="E37" s="3">
        <v>1461.9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Groceries</t>
        </is>
      </c>
      <c r="D43" s="2" t="inlineStr">
        <is>
          <t xml:space="preserve">Food</t>
        </is>
      </c>
      <c r="E43" s="3">
        <v>239.44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Groceries</t>
        </is>
      </c>
      <c r="D47" s="2" t="inlineStr">
        <is>
          <t xml:space="preserve">Food</t>
        </is>
      </c>
      <c r="E47" s="3">
        <v>63.82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Shopping &amp; Household</t>
        </is>
      </c>
      <c r="D48" s="2" t="inlineStr">
        <is>
          <t xml:space="preserve">Shopping</t>
        </is>
      </c>
      <c r="E48" s="3">
        <v>17.35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Shopping &amp; Household</t>
        </is>
      </c>
      <c r="D49" s="2" t="inlineStr">
        <is>
          <t xml:space="preserve">Shopping</t>
        </is>
      </c>
      <c r="E49" s="3">
        <v>20.66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Groceries</t>
        </is>
      </c>
      <c r="D50" s="2" t="inlineStr">
        <is>
          <t xml:space="preserve">Food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TV</t>
        </is>
      </c>
      <c r="D53" s="2" t="inlineStr">
        <is>
          <t xml:space="preserve">Subscriptions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Groceries</t>
        </is>
      </c>
      <c r="D54" s="2" t="inlineStr">
        <is>
          <t xml:space="preserve">Food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Home Services (Cleaning, Pest, Lawn)</t>
        </is>
      </c>
      <c r="D55" s="2" t="inlineStr">
        <is>
          <t xml:space="preserve">Home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Medical &amp;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Groceries</t>
        </is>
      </c>
      <c r="D58" s="2" t="inlineStr">
        <is>
          <t xml:space="preserve">Food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Home Improvement (Lowe's)</t>
        </is>
      </c>
      <c r="D62" s="2" t="inlineStr">
        <is>
          <t xml:space="preserve">Home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Utility – Internet (Focus Broadband)</t>
        </is>
      </c>
      <c r="D63" s="2" t="inlineStr">
        <is>
          <t xml:space="preserve">Utilities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Shopping &amp; Household</t>
        </is>
      </c>
      <c r="D67" s="2" t="inlineStr">
        <is>
          <t xml:space="preserve">Shopping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Groceries</t>
        </is>
      </c>
      <c r="D70" s="2" t="inlineStr">
        <is>
          <t xml:space="preserve">Food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TV</t>
        </is>
      </c>
      <c r="D75" s="2" t="inlineStr">
        <is>
          <t xml:space="preserve">Subscriptions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&amp; Pharmacy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Shopping &amp; Household</t>
        </is>
      </c>
      <c r="D77" s="2" t="inlineStr">
        <is>
          <t xml:space="preserve">Shopping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Shopping &amp; Household</t>
        </is>
      </c>
      <c r="D78" s="2" t="inlineStr">
        <is>
          <t xml:space="preserve">Shopping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Groceries</t>
        </is>
      </c>
      <c r="D83" s="2" t="inlineStr">
        <is>
          <t xml:space="preserve">Food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Shopping &amp; Household</t>
        </is>
      </c>
      <c r="D85" s="2" t="inlineStr">
        <is>
          <t xml:space="preserve">Shopping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Groceries</t>
        </is>
      </c>
      <c r="D87" s="2" t="inlineStr">
        <is>
          <t xml:space="preserve">Food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Shopping &amp; Household</t>
        </is>
      </c>
      <c r="D92" s="2" t="inlineStr">
        <is>
          <t xml:space="preserve">Shopping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Groceries</t>
        </is>
      </c>
      <c r="D93" s="2" t="inlineStr">
        <is>
          <t xml:space="preserve">Food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Medical &amp;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Personal Care (Hair, Beauty)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Shopping &amp; Household</t>
        </is>
      </c>
      <c r="D100" s="2" t="inlineStr">
        <is>
          <t xml:space="preserve">Shopping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Groceries</t>
        </is>
      </c>
      <c r="D104" s="2" t="inlineStr">
        <is>
          <t xml:space="preserve">Food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Groceries</t>
        </is>
      </c>
      <c r="D105" s="2" t="inlineStr">
        <is>
          <t xml:space="preserve">Food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Utilities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Shopping &amp; Household</t>
        </is>
      </c>
      <c r="D108" s="2" t="inlineStr">
        <is>
          <t xml:space="preserve">Shopping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Groceries</t>
        </is>
      </c>
      <c r="D109" s="2" t="inlineStr">
        <is>
          <t xml:space="preserve">Food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15086.64</v>
      </c>
    </row>
    <row r="112">
      <c r="D112" s="7" t="inlineStr">
        <is>
          <t xml:space="preserve">Not counted (Excluded)</t>
        </is>
      </c>
      <c r="E112" s="6">
        <f>SUMIF(D4:D110,"Excluded",E4:E110)</f>
        <v>7897.08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Groceries</t>
        </is>
      </c>
      <c r="H6" s="3">
        <f>SUMIF($C$4:$C$88,G6,$E$4:$E$88)</f>
        <v>1202.5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&amp; Pharmacy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Restaurants &amp; Takeout</t>
        </is>
      </c>
      <c r="H7" s="3">
        <f>SUMIF($C$4:$C$88,G7,$E$4:$E$88)</f>
        <v>872.56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Banner Life Insurance</t>
        </is>
      </c>
      <c r="H8" s="3">
        <f>SUMIF($C$4:$C$88,G8,$E$4:$E$88)</f>
        <v>710.06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TV</t>
        </is>
      </c>
      <c r="D9" s="2" t="inlineStr">
        <is>
          <t xml:space="preserve">Subscriptions</t>
        </is>
      </c>
      <c r="E9" s="3">
        <v>89.0</v>
      </c>
      <c r="G9" s="2" t="inlineStr">
        <is>
          <t xml:space="preserve">Utility – Electric (BEMC)</t>
        </is>
      </c>
      <c r="H9" s="3">
        <f>SUMIF($C$4:$C$88,G9,$E$4:$E$88)</f>
        <v>419.66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TV</t>
        </is>
      </c>
      <c r="D10" s="2" t="inlineStr">
        <is>
          <t xml:space="preserve">Subscriptions</t>
        </is>
      </c>
      <c r="E10" s="3">
        <v>20.27</v>
      </c>
      <c r="G10" s="2" t="inlineStr">
        <is>
          <t xml:space="preserve">Verizon Wireless</t>
        </is>
      </c>
      <c r="H10" s="3">
        <f>SUMIF($C$4:$C$88,G10,$E$4:$E$88)</f>
        <v>386.85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Shopping &amp; Household</t>
        </is>
      </c>
      <c r="D11" s="2" t="inlineStr">
        <is>
          <t xml:space="preserve">Shopping</t>
        </is>
      </c>
      <c r="E11" s="3">
        <v>32.63</v>
      </c>
      <c r="G11" s="2" t="inlineStr">
        <is>
          <t xml:space="preserve">Allstate Insurance</t>
        </is>
      </c>
      <c r="H11" s="3">
        <f>SUMIF($C$4:$C$88,G11,$E$4:$E$88)</f>
        <v>354.17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Shopping &amp; Household</t>
        </is>
      </c>
      <c r="H12" s="3">
        <f>SUMIF($C$4:$C$88,G12,$E$4:$E$88)</f>
        <v>247.84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Groceries</t>
        </is>
      </c>
      <c r="D13" s="2" t="inlineStr">
        <is>
          <t xml:space="preserve">Food</t>
        </is>
      </c>
      <c r="E13" s="3">
        <v>5.28</v>
      </c>
      <c r="G13" s="2" t="inlineStr">
        <is>
          <t xml:space="preserve">Gas &amp; Convenience Stores</t>
        </is>
      </c>
      <c r="H13" s="3">
        <f>SUMIF($C$4:$C$88,G13,$E$4:$E$88)</f>
        <v>238.98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Health Insurance – Blue Cross NC</t>
        </is>
      </c>
      <c r="H14" s="3">
        <f>SUMIF($C$4:$C$88,G14,$E$4:$E$88)</f>
        <v>216.25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Donations &amp; Clubs (Kiwanis)</t>
        </is>
      </c>
      <c r="H15" s="3">
        <f>SUMIF($C$4:$C$88,G15,$E$4:$E$88)</f>
        <v>200.0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Groceries</t>
        </is>
      </c>
      <c r="D16" s="2" t="inlineStr">
        <is>
          <t xml:space="preserve">Food</t>
        </is>
      </c>
      <c r="E16" s="3">
        <v>98.73</v>
      </c>
      <c r="G16" s="2" t="inlineStr">
        <is>
          <t xml:space="preserve">Streaming TV</t>
        </is>
      </c>
      <c r="H16" s="3">
        <f>SUMIF($C$4:$C$88,G16,$E$4:$E$88)</f>
        <v>188.98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Student Loan (Dept of Education)</t>
        </is>
      </c>
      <c r="H17" s="3">
        <f>SUMIF($C$4:$C$88,G17,$E$4:$E$88)</f>
        <v>160.37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Groceries</t>
        </is>
      </c>
      <c r="D18" s="2" t="inlineStr">
        <is>
          <t xml:space="preserve">Food</t>
        </is>
      </c>
      <c r="E18" s="3">
        <v>53.9</v>
      </c>
      <c r="G18" s="2" t="inlineStr">
        <is>
          <t xml:space="preserve">Medical &amp; Pharmacy</t>
        </is>
      </c>
      <c r="H18" s="3">
        <f>SUMIF($C$4:$C$88,G18,$E$4:$E$88)</f>
        <v>160.28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Groceries</t>
        </is>
      </c>
      <c r="D19" s="2" t="inlineStr">
        <is>
          <t xml:space="preserve">Food</t>
        </is>
      </c>
      <c r="E19" s="3">
        <v>174.04</v>
      </c>
      <c r="G19" s="2" t="inlineStr">
        <is>
          <t xml:space="preserve">Cash (ATM) &amp; Bank Fees</t>
        </is>
      </c>
      <c r="H19" s="3">
        <f>SUMIF($C$4:$C$88,G19,$E$4:$E$88)</f>
        <v>147.0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Transfers to People (Venmo/Zelle)</t>
        </is>
      </c>
      <c r="H20" s="3">
        <f>SUMIF($C$4:$C$88,G20,$E$4:$E$88)</f>
        <v>130.0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Yard Company (NextGen)</t>
        </is>
      </c>
      <c r="H21" s="3">
        <f>SUMIF($C$4:$C$88,G21,$E$4:$E$88)</f>
        <v>120.0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Personal Care (Hair, Beauty)</t>
        </is>
      </c>
      <c r="H22" s="3">
        <f>SUMIF($C$4:$C$88,G22,$E$4:$E$88)</f>
        <v>114.5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Home Improvement (Lowe's)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(Hair, Beauty)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Utility – Internet (Focus Broadband)</t>
        </is>
      </c>
      <c r="H25" s="3">
        <f>SUMIF($C$4:$C$88,G25,$E$4:$E$88)</f>
        <v>80.79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Tolls &amp; Parking</t>
        </is>
      </c>
      <c r="H26" s="3">
        <f>SUMIF($C$4:$C$88,G26,$E$4:$E$88)</f>
        <v>74.24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Groceries</t>
        </is>
      </c>
      <c r="D27" s="2" t="inlineStr">
        <is>
          <t xml:space="preserve">Food</t>
        </is>
      </c>
      <c r="E27" s="3">
        <v>28.23</v>
      </c>
      <c r="G27" s="2" t="inlineStr">
        <is>
          <t xml:space="preserve">Life Insurance (Lincoln National)</t>
        </is>
      </c>
      <c r="H27" s="3">
        <f>SUMIF($C$4:$C$88,G27,$E$4:$E$88)</f>
        <v>73.61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Personal Care (Hair, Beauty)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Dental Insurance – Delta Dental</t>
        </is>
      </c>
      <c r="H28" s="3">
        <f>SUMIF($C$4:$C$88,G28,$E$4:$E$88)</f>
        <v>69.36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8" t="inlineStr">
        <is>
          <t xml:space="preserve">Total spending</t>
        </is>
      </c>
      <c r="H29" s="9">
        <f>SUM(H4:H28)</f>
        <v>11515.63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TV</t>
        </is>
      </c>
      <c r="D30" s="2" t="inlineStr">
        <is>
          <t xml:space="preserve">Subscriptions</t>
        </is>
      </c>
      <c r="E30" s="3">
        <v>22.41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Shopping &amp; Household</t>
        </is>
      </c>
      <c r="D31" s="2" t="inlineStr">
        <is>
          <t xml:space="preserve">Shopping</t>
        </is>
      </c>
      <c r="E31" s="3">
        <v>59.99</v>
      </c>
      <c r="G31" s="7" t="inlineStr">
        <is>
          <t xml:space="preserve">Not counted as spending</t>
        </is>
      </c>
      <c r="H31" s="7"/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Shopping &amp; Household</t>
        </is>
      </c>
      <c r="D32" s="2" t="inlineStr">
        <is>
          <t xml:space="preserve">Shopping</t>
        </is>
      </c>
      <c r="E32" s="3">
        <v>36.99</v>
      </c>
      <c r="G32" s="2" t="inlineStr">
        <is>
          <t xml:space="preserve">Credit Card Payoff – American Express</t>
        </is>
      </c>
      <c r="H32" s="3">
        <f>SUMIF($C$4:$C$88,G32,$E$4:$E$88)</f>
        <v>4738.51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WTW Health Premium (reimbursed by Via Benefits)</t>
        </is>
      </c>
      <c r="H33" s="3">
        <f>SUMIF($C$4:$C$88,G33,$E$4:$E$88)</f>
        <v>2576.0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Groceries</t>
        </is>
      </c>
      <c r="D34" s="2" t="inlineStr">
        <is>
          <t xml:space="preserve">Food</t>
        </is>
      </c>
      <c r="E34" s="3">
        <v>121.64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Groceries</t>
        </is>
      </c>
      <c r="D39" s="2" t="inlineStr">
        <is>
          <t xml:space="preserve">Food</t>
        </is>
      </c>
      <c r="E39" s="3">
        <v>221.77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&amp; Pharmacy</t>
        </is>
      </c>
      <c r="D43" s="2" t="inlineStr">
        <is>
          <t xml:space="preserve">Health</t>
        </is>
      </c>
      <c r="E43" s="3">
        <v>100.28</v>
      </c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Utility – Internet (Focus Broadband)</t>
        </is>
      </c>
      <c r="D45" s="2" t="inlineStr">
        <is>
          <t xml:space="preserve">Utilities</t>
        </is>
      </c>
      <c r="E45" s="3">
        <v>80.79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Home Improvement (Lowe's)</t>
        </is>
      </c>
      <c r="D46" s="2" t="inlineStr">
        <is>
          <t xml:space="preserve">Home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TV</t>
        </is>
      </c>
      <c r="D50" s="2" t="inlineStr">
        <is>
          <t xml:space="preserve">Subscriptions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TV</t>
        </is>
      </c>
      <c r="D51" s="2" t="inlineStr">
        <is>
          <t xml:space="preserve">Subscriptions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Groceries</t>
        </is>
      </c>
      <c r="D54" s="2" t="inlineStr">
        <is>
          <t xml:space="preserve">Food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Debt Payments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Tolls &amp; Parking</t>
        </is>
      </c>
      <c r="D58" s="2" t="inlineStr">
        <is>
          <t xml:space="preserve">Transportation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Shopping &amp; Household</t>
        </is>
      </c>
      <c r="D62" s="2" t="inlineStr">
        <is>
          <t xml:space="preserve">Shopping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Shopping &amp; Household</t>
        </is>
      </c>
      <c r="D63" s="2" t="inlineStr">
        <is>
          <t xml:space="preserve">Shopping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Shopping &amp; Household</t>
        </is>
      </c>
      <c r="D68" s="2" t="inlineStr">
        <is>
          <t xml:space="preserve">Shopping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Groceries</t>
        </is>
      </c>
      <c r="D76" s="2" t="inlineStr">
        <is>
          <t xml:space="preserve">Food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Utilities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Shopping &amp; Household</t>
        </is>
      </c>
      <c r="D80" s="2" t="inlineStr">
        <is>
          <t xml:space="preserve">Shopping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Groceries</t>
        </is>
      </c>
      <c r="D85" s="2" t="inlineStr">
        <is>
          <t xml:space="preserve">Food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Credit Card Payoff – Belk (Synchrony)</t>
        </is>
      </c>
      <c r="E9" s="2" t="inlineStr">
        <is>
          <t xml:space="preserve">Excluded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TV</t>
        </is>
      </c>
      <c r="E10" s="2" t="inlineStr">
        <is>
          <t xml:space="preserve">Subscriptions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TV</t>
        </is>
      </c>
      <c r="E11" s="2" t="inlineStr">
        <is>
          <t xml:space="preserve">Subscriptions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TV</t>
        </is>
      </c>
      <c r="E12" s="2" t="inlineStr">
        <is>
          <t xml:space="preserve">Subscriptions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Groceries</t>
        </is>
      </c>
      <c r="E13" s="2" t="inlineStr">
        <is>
          <t xml:space="preserve">Food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Shopping &amp; Household</t>
        </is>
      </c>
      <c r="E16" s="2" t="inlineStr">
        <is>
          <t xml:space="preserve">Shopping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Personal Care (Hair, Beauty)</t>
        </is>
      </c>
      <c r="E19" s="2" t="inlineStr">
        <is>
          <t xml:space="preserve">Personal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Personal Care (Hair, Beauty)</t>
        </is>
      </c>
      <c r="E20" s="2" t="inlineStr">
        <is>
          <t xml:space="preserve">Personal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Groceries</t>
        </is>
      </c>
      <c r="E22" s="2" t="inlineStr">
        <is>
          <t xml:space="preserve">Food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Groceries</t>
        </is>
      </c>
      <c r="E31" s="2" t="inlineStr">
        <is>
          <t xml:space="preserve">Food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TV</t>
        </is>
      </c>
      <c r="E33" s="2" t="inlineStr">
        <is>
          <t xml:space="preserve">Subscriptions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Personal Care (Hair, Beauty)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Home Improvement (Lowe's)</t>
        </is>
      </c>
      <c r="E39" s="2" t="inlineStr">
        <is>
          <t xml:space="preserve">Home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Utility – Internet (Focus Broadband)</t>
        </is>
      </c>
      <c r="E46" s="2" t="inlineStr">
        <is>
          <t xml:space="preserve">Utilities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Shopping &amp; Household</t>
        </is>
      </c>
      <c r="E52" s="2" t="inlineStr">
        <is>
          <t xml:space="preserve">Shopping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Personal Care (Hair, Beauty)</t>
        </is>
      </c>
      <c r="E53" s="2" t="inlineStr">
        <is>
          <t xml:space="preserve">Personal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Groceries</t>
        </is>
      </c>
      <c r="E58" s="2" t="inlineStr">
        <is>
          <t xml:space="preserve">Food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Groceries</t>
        </is>
      </c>
      <c r="E65" s="2" t="inlineStr">
        <is>
          <t xml:space="preserve">Food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TV</t>
        </is>
      </c>
      <c r="E66" s="2" t="inlineStr">
        <is>
          <t xml:space="preserve">Subscriptions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Debt Payments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Groceries</t>
        </is>
      </c>
      <c r="E70" s="2" t="inlineStr">
        <is>
          <t xml:space="preserve">Food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Groceries</t>
        </is>
      </c>
      <c r="E75" s="2" t="inlineStr">
        <is>
          <t xml:space="preserve">Food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Groceries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Groceries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Shopping &amp; Household</t>
        </is>
      </c>
      <c r="E83" s="2" t="inlineStr">
        <is>
          <t xml:space="preserve">Shopping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Shopping &amp; Household</t>
        </is>
      </c>
      <c r="E84" s="2" t="inlineStr">
        <is>
          <t xml:space="preserve">Shopping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Groceries</t>
        </is>
      </c>
      <c r="E85" s="2" t="inlineStr">
        <is>
          <t xml:space="preserve">Food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Shopping &amp; Household</t>
        </is>
      </c>
      <c r="E86" s="2" t="inlineStr">
        <is>
          <t xml:space="preserve">Shopping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TV</t>
        </is>
      </c>
      <c r="E111" s="2" t="inlineStr">
        <is>
          <t xml:space="preserve">Subscriptions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Medical &amp;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TV</t>
        </is>
      </c>
      <c r="E113" s="2" t="inlineStr">
        <is>
          <t xml:space="preserve">Subscriptions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Medical &amp;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Groceries</t>
        </is>
      </c>
      <c r="E115" s="2" t="inlineStr">
        <is>
          <t xml:space="preserve">Food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Utilities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Personal Care (Hair, Beauty)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TV</t>
        </is>
      </c>
      <c r="E125" s="2" t="inlineStr">
        <is>
          <t xml:space="preserve">Subscriptions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Groceries</t>
        </is>
      </c>
      <c r="E127" s="2" t="inlineStr">
        <is>
          <t xml:space="preserve">Food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Groceries</t>
        </is>
      </c>
      <c r="E140" s="2" t="inlineStr">
        <is>
          <t xml:space="preserve">Food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Groceries</t>
        </is>
      </c>
      <c r="E142" s="2" t="inlineStr">
        <is>
          <t xml:space="preserve">Food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TV</t>
        </is>
      </c>
      <c r="E143" s="2" t="inlineStr">
        <is>
          <t xml:space="preserve">Subscriptions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TV</t>
        </is>
      </c>
      <c r="E144" s="2" t="inlineStr">
        <is>
          <t xml:space="preserve">Subscriptions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TV</t>
        </is>
      </c>
      <c r="E145" s="2" t="inlineStr">
        <is>
          <t xml:space="preserve">Subscriptions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Shopping &amp; Household</t>
        </is>
      </c>
      <c r="E147" s="2" t="inlineStr">
        <is>
          <t xml:space="preserve">Shopping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Medical &amp;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Shopping &amp; Household</t>
        </is>
      </c>
      <c r="E149" s="2" t="inlineStr">
        <is>
          <t xml:space="preserve">Shopping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Restaurants &amp; Takeout</t>
        </is>
      </c>
      <c r="E150" s="2" t="inlineStr">
        <is>
          <t xml:space="preserve">Food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Groceries</t>
        </is>
      </c>
      <c r="E151" s="2" t="inlineStr">
        <is>
          <t xml:space="preserve">Food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Restaurants &amp; Takeout</t>
        </is>
      </c>
      <c r="E153" s="2" t="inlineStr">
        <is>
          <t xml:space="preserve">Food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Shopping &amp; Household</t>
        </is>
      </c>
      <c r="E156" s="2" t="inlineStr">
        <is>
          <t xml:space="preserve">Shopping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Restaurants &amp; Takeout</t>
        </is>
      </c>
      <c r="E159" s="2" t="inlineStr">
        <is>
          <t xml:space="preserve">Food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Groceries</t>
        </is>
      </c>
      <c r="E162" s="2" t="inlineStr">
        <is>
          <t xml:space="preserve">Food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Groceries</t>
        </is>
      </c>
      <c r="E166" s="2" t="inlineStr">
        <is>
          <t xml:space="preserve">Food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TV</t>
        </is>
      </c>
      <c r="E167" s="2" t="inlineStr">
        <is>
          <t xml:space="preserve">Subscriptions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Shopping &amp; Household</t>
        </is>
      </c>
      <c r="E174" s="2" t="inlineStr">
        <is>
          <t xml:space="preserve">Shopping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Groceries</t>
        </is>
      </c>
      <c r="E175" s="2" t="inlineStr">
        <is>
          <t xml:space="preserve">Food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Groceries</t>
        </is>
      </c>
      <c r="E179" s="2" t="inlineStr">
        <is>
          <t xml:space="preserve">Food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Groceries</t>
        </is>
      </c>
      <c r="E180" s="2" t="inlineStr">
        <is>
          <t xml:space="preserve">Food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Shopping &amp; Household</t>
        </is>
      </c>
      <c r="E183" s="2" t="inlineStr">
        <is>
          <t xml:space="preserve">Shopping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Medical &amp;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Groceries</t>
        </is>
      </c>
      <c r="E186" s="2" t="inlineStr">
        <is>
          <t xml:space="preserve">Food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Credit Card Payoff – Belk (Synchrony)</t>
        </is>
      </c>
      <c r="E187" s="2" t="inlineStr">
        <is>
          <t xml:space="preserve">Excluded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TV</t>
        </is>
      </c>
      <c r="E193" s="2" t="inlineStr">
        <is>
          <t xml:space="preserve">Subscriptions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Groceries</t>
        </is>
      </c>
      <c r="E194" s="2" t="inlineStr">
        <is>
          <t xml:space="preserve">Food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Debt Payments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(Cleaning, Pest, Lawn)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Groceries</t>
        </is>
      </c>
      <c r="E206" s="2" t="inlineStr">
        <is>
          <t xml:space="preserve">Food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Groceries</t>
        </is>
      </c>
      <c r="E208" s="2" t="inlineStr">
        <is>
          <t xml:space="preserve">Food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Credit Card Payoff – Belk (Synchrony)</t>
        </is>
      </c>
      <c r="E209" s="2" t="inlineStr">
        <is>
          <t xml:space="preserve">Excluded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Groceries</t>
        </is>
      </c>
      <c r="E216" s="2" t="inlineStr">
        <is>
          <t xml:space="preserve">Food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Groceries</t>
        </is>
      </c>
      <c r="E218" s="2" t="inlineStr">
        <is>
          <t xml:space="preserve">Food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Groceries</t>
        </is>
      </c>
      <c r="E220" s="2" t="inlineStr">
        <is>
          <t xml:space="preserve">Food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Groceries</t>
        </is>
      </c>
      <c r="E226" s="2" t="inlineStr">
        <is>
          <t xml:space="preserve">Food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Medical &amp;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Groceries</t>
        </is>
      </c>
      <c r="E234" s="2" t="inlineStr">
        <is>
          <t xml:space="preserve">Food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Utilities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TV</t>
        </is>
      </c>
      <c r="E236" s="2" t="inlineStr">
        <is>
          <t xml:space="preserve">Subscriptions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TV</t>
        </is>
      </c>
      <c r="E240" s="2" t="inlineStr">
        <is>
          <t xml:space="preserve">Subscriptions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Home Services (Cleaning, Pest, Lawn)</t>
        </is>
      </c>
      <c r="E243" s="2" t="inlineStr">
        <is>
          <t xml:space="preserve">Home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Shopping &amp; Household</t>
        </is>
      </c>
      <c r="E244" s="2" t="inlineStr">
        <is>
          <t xml:space="preserve">Shopping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TV</t>
        </is>
      </c>
      <c r="E252" s="2" t="inlineStr">
        <is>
          <t xml:space="preserve">Subscriptions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Groceries</t>
        </is>
      </c>
      <c r="E253" s="2" t="inlineStr">
        <is>
          <t xml:space="preserve">Food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Personal Care (Hair, Beauty)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Utility – Internet (Focus Broadband)</t>
        </is>
      </c>
      <c r="E257" s="2" t="inlineStr">
        <is>
          <t xml:space="preserve">Utilities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&amp; Pharmacy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(Cleaning, Pest, Lawn)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TV</t>
        </is>
      </c>
      <c r="E263" s="2" t="inlineStr">
        <is>
          <t xml:space="preserve">Subscriptions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Groceries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TV</t>
        </is>
      </c>
      <c r="E266" s="2" t="inlineStr">
        <is>
          <t xml:space="preserve">Subscriptions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Medical &amp;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Shopping &amp; Household</t>
        </is>
      </c>
      <c r="E278" s="2" t="inlineStr">
        <is>
          <t xml:space="preserve">Shopping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Groceries</t>
        </is>
      </c>
      <c r="E284" s="2" t="inlineStr">
        <is>
          <t xml:space="preserve">Food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Groceries</t>
        </is>
      </c>
      <c r="E288" s="2" t="inlineStr">
        <is>
          <t xml:space="preserve">Food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Shopping &amp; Household</t>
        </is>
      </c>
      <c r="E289" s="2" t="inlineStr">
        <is>
          <t xml:space="preserve">Shopping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Shopping &amp; Household</t>
        </is>
      </c>
      <c r="E290" s="2" t="inlineStr">
        <is>
          <t xml:space="preserve">Shopping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Groceries</t>
        </is>
      </c>
      <c r="E291" s="2" t="inlineStr">
        <is>
          <t xml:space="preserve">Food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TV</t>
        </is>
      </c>
      <c r="E294" s="2" t="inlineStr">
        <is>
          <t xml:space="preserve">Subscriptions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Groceries</t>
        </is>
      </c>
      <c r="E295" s="2" t="inlineStr">
        <is>
          <t xml:space="preserve">Food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Home Services (Cleaning, Pest, Lawn)</t>
        </is>
      </c>
      <c r="E296" s="2" t="inlineStr">
        <is>
          <t xml:space="preserve">Home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Medical &amp;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Groceries</t>
        </is>
      </c>
      <c r="E299" s="2" t="inlineStr">
        <is>
          <t xml:space="preserve">Food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Home Improvement (Lowe's)</t>
        </is>
      </c>
      <c r="E303" s="2" t="inlineStr">
        <is>
          <t xml:space="preserve">Home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Utility – Internet (Focus Broadband)</t>
        </is>
      </c>
      <c r="E304" s="2" t="inlineStr">
        <is>
          <t xml:space="preserve">Utilities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Shopping &amp; Household</t>
        </is>
      </c>
      <c r="E308" s="2" t="inlineStr">
        <is>
          <t xml:space="preserve">Shopping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Groceries</t>
        </is>
      </c>
      <c r="E311" s="2" t="inlineStr">
        <is>
          <t xml:space="preserve">Food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TV</t>
        </is>
      </c>
      <c r="E316" s="2" t="inlineStr">
        <is>
          <t xml:space="preserve">Subscriptions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&amp; Pharmacy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Shopping &amp; Household</t>
        </is>
      </c>
      <c r="E318" s="2" t="inlineStr">
        <is>
          <t xml:space="preserve">Shopping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Shopping &amp; Household</t>
        </is>
      </c>
      <c r="E319" s="2" t="inlineStr">
        <is>
          <t xml:space="preserve">Shopping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Debt Payments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Groceries</t>
        </is>
      </c>
      <c r="E324" s="2" t="inlineStr">
        <is>
          <t xml:space="preserve">Food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Shopping &amp; Household</t>
        </is>
      </c>
      <c r="E326" s="2" t="inlineStr">
        <is>
          <t xml:space="preserve">Shopping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Groceries</t>
        </is>
      </c>
      <c r="E328" s="2" t="inlineStr">
        <is>
          <t xml:space="preserve">Food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Shopping &amp; Household</t>
        </is>
      </c>
      <c r="E333" s="2" t="inlineStr">
        <is>
          <t xml:space="preserve">Shopping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Groceries</t>
        </is>
      </c>
      <c r="E334" s="2" t="inlineStr">
        <is>
          <t xml:space="preserve">Food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Medical &amp;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Personal Care (Hair, Beauty)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Shopping &amp; Household</t>
        </is>
      </c>
      <c r="E341" s="2" t="inlineStr">
        <is>
          <t xml:space="preserve">Shopping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Groceries</t>
        </is>
      </c>
      <c r="E345" s="2" t="inlineStr">
        <is>
          <t xml:space="preserve">Food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Groceries</t>
        </is>
      </c>
      <c r="E346" s="2" t="inlineStr">
        <is>
          <t xml:space="preserve">Food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Utilities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Shopping &amp; Household</t>
        </is>
      </c>
      <c r="E349" s="2" t="inlineStr">
        <is>
          <t xml:space="preserve">Shopping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Groceries</t>
        </is>
      </c>
      <c r="E350" s="2" t="inlineStr">
        <is>
          <t xml:space="preserve">Food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Restaurants &amp; Takeout</t>
        </is>
      </c>
      <c r="E353" s="2" t="inlineStr">
        <is>
          <t xml:space="preserve">Food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&amp; Pharmacy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TV</t>
        </is>
      </c>
      <c r="E357" s="2" t="inlineStr">
        <is>
          <t xml:space="preserve">Subscriptions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TV</t>
        </is>
      </c>
      <c r="E358" s="2" t="inlineStr">
        <is>
          <t xml:space="preserve">Subscriptions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Shopping &amp; Household</t>
        </is>
      </c>
      <c r="E359" s="2" t="inlineStr">
        <is>
          <t xml:space="preserve">Shopping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Groceries</t>
        </is>
      </c>
      <c r="E361" s="2" t="inlineStr">
        <is>
          <t xml:space="preserve">Food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Groceries</t>
        </is>
      </c>
      <c r="E364" s="2" t="inlineStr">
        <is>
          <t xml:space="preserve">Food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Groceries</t>
        </is>
      </c>
      <c r="E366" s="2" t="inlineStr">
        <is>
          <t xml:space="preserve">Food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Groceries</t>
        </is>
      </c>
      <c r="E367" s="2" t="inlineStr">
        <is>
          <t xml:space="preserve">Food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(Hair, Beauty)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Groceries</t>
        </is>
      </c>
      <c r="E375" s="2" t="inlineStr">
        <is>
          <t xml:space="preserve">Food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Personal Care (Hair, Beauty)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TV</t>
        </is>
      </c>
      <c r="E378" s="2" t="inlineStr">
        <is>
          <t xml:space="preserve">Subscriptions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Shopping &amp; Household</t>
        </is>
      </c>
      <c r="E379" s="2" t="inlineStr">
        <is>
          <t xml:space="preserve">Shopping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Shopping &amp; Household</t>
        </is>
      </c>
      <c r="E380" s="2" t="inlineStr">
        <is>
          <t xml:space="preserve">Shopping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Groceries</t>
        </is>
      </c>
      <c r="E382" s="2" t="inlineStr">
        <is>
          <t xml:space="preserve">Food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Groceries</t>
        </is>
      </c>
      <c r="E387" s="2" t="inlineStr">
        <is>
          <t xml:space="preserve">Food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&amp; Pharmacy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Utility – Internet (Focus Broadband)</t>
        </is>
      </c>
      <c r="E393" s="2" t="inlineStr">
        <is>
          <t xml:space="preserve">Utilities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Home Improvement (Lowe's)</t>
        </is>
      </c>
      <c r="E394" s="2" t="inlineStr">
        <is>
          <t xml:space="preserve">Home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TV</t>
        </is>
      </c>
      <c r="E398" s="2" t="inlineStr">
        <is>
          <t xml:space="preserve">Subscriptions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TV</t>
        </is>
      </c>
      <c r="E399" s="2" t="inlineStr">
        <is>
          <t xml:space="preserve">Subscriptions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Groceries</t>
        </is>
      </c>
      <c r="E402" s="2" t="inlineStr">
        <is>
          <t xml:space="preserve">Food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Debt Payments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Restaurants &amp; Takeout</t>
        </is>
      </c>
      <c r="E404" s="2" t="inlineStr">
        <is>
          <t xml:space="preserve">Food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Tolls &amp; Parking</t>
        </is>
      </c>
      <c r="E406" s="2" t="inlineStr">
        <is>
          <t xml:space="preserve">Transportation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Shopping &amp; Household</t>
        </is>
      </c>
      <c r="E410" s="2" t="inlineStr">
        <is>
          <t xml:space="preserve">Shopping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Shopping &amp; Household</t>
        </is>
      </c>
      <c r="E411" s="2" t="inlineStr">
        <is>
          <t xml:space="preserve">Shopping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Shopping &amp; Household</t>
        </is>
      </c>
      <c r="E416" s="2" t="inlineStr">
        <is>
          <t xml:space="preserve">Shopping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Groceries</t>
        </is>
      </c>
      <c r="E424" s="2" t="inlineStr">
        <is>
          <t xml:space="preserve">Food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Utilities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Shopping &amp; Household</t>
        </is>
      </c>
      <c r="E428" s="2" t="inlineStr">
        <is>
          <t xml:space="preserve">Shopping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Groceries</t>
        </is>
      </c>
      <c r="E433" s="2" t="inlineStr">
        <is>
          <t xml:space="preserve">Food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