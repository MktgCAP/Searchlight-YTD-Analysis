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ummary" sheetId="1" r:id="rId1"/>
    <sheet name="June 2026" sheetId="2" r:id="rId2"/>
    <sheet name="July 2026" sheetId="3" r:id="rId3"/>
    <sheet name="August 2026" sheetId="4" r:id="rId4"/>
    <sheet name="September 2026" sheetId="5" r:id="rId5"/>
    <sheet name="All Transactions" sheetId="6" r:id="rId6"/>
  </sheets>
  <definedNames>
    <definedName name="_xlnm._FilterDatabase" localSheetId="1" hidden="1">'June 2026'!$A$3:$E$119</definedName>
    <definedName name="_xlnm._FilterDatabase" localSheetId="2" hidden="1">'July 2026'!$A$3:$E$127</definedName>
    <definedName name="_xlnm._FilterDatabase" localSheetId="3" hidden="1">'August 2026'!$A$3:$E$110</definedName>
    <definedName name="_xlnm._FilterDatabase" localSheetId="4" hidden="1">'September 2026'!$A$3:$E$88</definedName>
    <definedName name="_xlnm._FilterDatabase" localSheetId="5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1613.1125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173.2375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F10/4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387.6075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7" t="inlineStr">
        <is>
          <t xml:space="preserve">Total Insurance</t>
        </is>
      </c>
      <c r="B18" s="6">
        <f>SUM(B13:B17)</f>
        <v>1435.3</v>
      </c>
      <c r="C18" s="6">
        <f>SUM(C13:C17)</f>
        <v>1213.45</v>
      </c>
      <c r="D18" s="6">
        <f>SUM(D13:D17)</f>
        <v>1760.95</v>
      </c>
      <c r="E18" s="6">
        <f>SUM(E13:E17)</f>
        <v>1423.45</v>
      </c>
      <c r="F18" s="6">
        <f>SUM(F13:F17)</f>
        <v>5833.15</v>
      </c>
      <c r="G18" s="6">
        <f>F18/4</f>
        <v>1458.2875</v>
      </c>
    </row>
    <row r="20">
      <c r="A20" s="5" t="inlineStr">
        <is>
          <t xml:space="preserve">Utilities</t>
        </is>
      </c>
    </row>
    <row r="21">
      <c r="A21" s="12" t="inlineStr">
        <is>
          <t xml:space="preserve">Utility – Electric (BEMC)</t>
        </is>
      </c>
      <c r="B21" s="3">
        <f>SUMIFS('All Transactions'!$F$5:$F$436,'All Transactions'!$D$5:$D$436,$A21,'All Transactions'!$A$5:$A$436,B$4)</f>
        <v>0</v>
      </c>
      <c r="C21" s="3">
        <f>SUMIFS('All Transactions'!$F$5:$F$436,'All Transactions'!$D$5:$D$436,$A21,'All Transactions'!$A$5:$A$436,C$4)</f>
        <v>336.35</v>
      </c>
      <c r="D21" s="3">
        <f>SUMIFS('All Transactions'!$F$5:$F$436,'All Transactions'!$D$5:$D$436,$A21,'All Transactions'!$A$5:$A$436,D$4)</f>
        <v>406.96</v>
      </c>
      <c r="E21" s="3">
        <f>SUMIFS('All Transactions'!$F$5:$F$436,'All Transactions'!$D$5:$D$436,$A21,'All Transactions'!$A$5:$A$436,E$4)</f>
        <v>419.66</v>
      </c>
      <c r="F21" s="3">
        <f>SUM(B21:E21)</f>
        <v>1162.97</v>
      </c>
      <c r="G21" s="3">
        <f>F21/4</f>
        <v>290.7425</v>
      </c>
    </row>
    <row r="22">
      <c r="A22" s="12" t="inlineStr">
        <is>
          <t xml:space="preserve">Utility – Water/Sewer (Brunswick County)</t>
        </is>
      </c>
      <c r="B22" s="3">
        <f>SUMIFS('All Transactions'!$F$5:$F$436,'All Transactions'!$D$5:$D$436,$A22,'All Transactions'!$A$5:$A$436,B$4)</f>
        <v>78.84</v>
      </c>
      <c r="C22" s="3">
        <f>SUMIFS('All Transactions'!$F$5:$F$436,'All Transactions'!$D$5:$D$436,$A22,'All Transactions'!$A$5:$A$436,C$4)</f>
        <v>0</v>
      </c>
      <c r="D22" s="3">
        <f>SUMIFS('All Transactions'!$F$5:$F$436,'All Transactions'!$D$5:$D$436,$A22,'All Transactions'!$A$5:$A$436,D$4)</f>
        <v>179.33</v>
      </c>
      <c r="E22" s="3">
        <f>SUMIFS('All Transactions'!$F$5:$F$436,'All Transactions'!$D$5:$D$436,$A22,'All Transactions'!$A$5:$A$436,E$4)</f>
        <v>84.26</v>
      </c>
      <c r="F22" s="3">
        <f>SUM(B22:E22)</f>
        <v>342.43</v>
      </c>
      <c r="G22" s="3">
        <f>F22/4</f>
        <v>85.6075</v>
      </c>
    </row>
    <row r="23">
      <c r="A23" s="7" t="inlineStr">
        <is>
          <t xml:space="preserve">Total Utilities</t>
        </is>
      </c>
      <c r="B23" s="6">
        <f>SUM(B21:B22)</f>
        <v>78.84</v>
      </c>
      <c r="C23" s="6">
        <f>SUM(C21:C22)</f>
        <v>336.35</v>
      </c>
      <c r="D23" s="6">
        <f>SUM(D21:D22)</f>
        <v>586.29</v>
      </c>
      <c r="E23" s="6">
        <f>SUM(E21:E22)</f>
        <v>503.92</v>
      </c>
      <c r="F23" s="6">
        <f>SUM(F21:F22)</f>
        <v>1505.4</v>
      </c>
      <c r="G23" s="6">
        <f>F23/4</f>
        <v>376.35</v>
      </c>
    </row>
    <row r="25">
      <c r="A25" s="5" t="inlineStr">
        <is>
          <t xml:space="preserve">Phone &amp; Internet</t>
        </is>
      </c>
    </row>
    <row r="26">
      <c r="A26" s="12" t="inlineStr">
        <is>
          <t xml:space="preserve">Internet – Focus Broadband</t>
        </is>
      </c>
      <c r="B26" s="3">
        <f>SUMIFS('All Transactions'!$F$5:$F$436,'All Transactions'!$D$5:$D$436,$A26,'All Transactions'!$A$5:$A$436,B$4)</f>
        <v>80.79</v>
      </c>
      <c r="C26" s="3">
        <f>SUMIFS('All Transactions'!$F$5:$F$436,'All Transactions'!$D$5:$D$436,$A26,'All Transactions'!$A$5:$A$436,C$4)</f>
        <v>0</v>
      </c>
      <c r="D26" s="3">
        <f>SUMIFS('All Transactions'!$F$5:$F$436,'All Transactions'!$D$5:$D$436,$A26,'All Transactions'!$A$5:$A$436,D$4)</f>
        <v>161.58</v>
      </c>
      <c r="E26" s="3">
        <f>SUMIFS('All Transactions'!$F$5:$F$436,'All Transactions'!$D$5:$D$436,$A26,'All Transactions'!$A$5:$A$436,E$4)</f>
        <v>80.79</v>
      </c>
      <c r="F26" s="3">
        <f>SUM(B26:E26)</f>
        <v>323.16</v>
      </c>
      <c r="G26" s="3">
        <f>F26/4</f>
        <v>80.79</v>
      </c>
    </row>
    <row r="27">
      <c r="A27" s="12" t="inlineStr">
        <is>
          <t xml:space="preserve">Verizon Wireless</t>
        </is>
      </c>
      <c r="B27" s="3">
        <f>SUMIFS('All Transactions'!$F$5:$F$436,'All Transactions'!$D$5:$D$436,$A27,'All Transactions'!$A$5:$A$436,B$4)</f>
        <v>294.57</v>
      </c>
      <c r="C27" s="3">
        <f>SUMIFS('All Transactions'!$F$5:$F$436,'All Transactions'!$D$5:$D$436,$A27,'All Transactions'!$A$5:$A$436,C$4)</f>
        <v>294.8</v>
      </c>
      <c r="D27" s="3">
        <f>SUMIFS('All Transactions'!$F$5:$F$436,'All Transactions'!$D$5:$D$436,$A27,'All Transactions'!$A$5:$A$436,D$4)</f>
        <v>436.02</v>
      </c>
      <c r="E27" s="3">
        <f>SUMIFS('All Transactions'!$F$5:$F$436,'All Transactions'!$D$5:$D$436,$A27,'All Transactions'!$A$5:$A$436,E$4)</f>
        <v>386.85</v>
      </c>
      <c r="F27" s="3">
        <f>SUM(B27:E27)</f>
        <v>1412.24</v>
      </c>
      <c r="G27" s="3">
        <f>F27/4</f>
        <v>353.06</v>
      </c>
    </row>
    <row r="28">
      <c r="A28" s="7" t="inlineStr">
        <is>
          <t xml:space="preserve">Total Phone &amp; Internet</t>
        </is>
      </c>
      <c r="B28" s="6">
        <f>SUM(B26:B27)</f>
        <v>375.36</v>
      </c>
      <c r="C28" s="6">
        <f>SUM(C26:C27)</f>
        <v>294.8</v>
      </c>
      <c r="D28" s="6">
        <f>SUM(D26:D27)</f>
        <v>597.6</v>
      </c>
      <c r="E28" s="6">
        <f>SUM(E26:E27)</f>
        <v>467.64</v>
      </c>
      <c r="F28" s="6">
        <f>SUM(F26:F27)</f>
        <v>1735.4</v>
      </c>
      <c r="G28" s="6">
        <f>F28/4</f>
        <v>433.85</v>
      </c>
    </row>
    <row r="30">
      <c r="A30" s="5" t="inlineStr">
        <is>
          <t xml:space="preserve">Student Loan</t>
        </is>
      </c>
    </row>
    <row r="31">
      <c r="A31" s="12" t="inlineStr">
        <is>
          <t xml:space="preserve">Student Loan (Dept of Education)</t>
        </is>
      </c>
      <c r="B31" s="3">
        <f>SUMIFS('All Transactions'!$F$5:$F$436,'All Transactions'!$D$5:$D$436,$A31,'All Transactions'!$A$5:$A$436,B$4)</f>
        <v>160.37</v>
      </c>
      <c r="C31" s="3">
        <f>SUMIFS('All Transactions'!$F$5:$F$436,'All Transactions'!$D$5:$D$436,$A31,'All Transactions'!$A$5:$A$436,C$4)</f>
        <v>160.37</v>
      </c>
      <c r="D31" s="3">
        <f>SUMIFS('All Transactions'!$F$5:$F$436,'All Transactions'!$D$5:$D$436,$A31,'All Transactions'!$A$5:$A$436,D$4)</f>
        <v>160.37</v>
      </c>
      <c r="E31" s="3">
        <f>SUMIFS('All Transactions'!$F$5:$F$436,'All Transactions'!$D$5:$D$436,$A31,'All Transactions'!$A$5:$A$436,E$4)</f>
        <v>160.37</v>
      </c>
      <c r="F31" s="3">
        <f>SUM(B31:E31)</f>
        <v>641.48</v>
      </c>
      <c r="G31" s="3">
        <f>F31/4</f>
        <v>160.37</v>
      </c>
    </row>
    <row r="32">
      <c r="A32" s="7" t="inlineStr">
        <is>
          <t xml:space="preserve">Total Student Loan</t>
        </is>
      </c>
      <c r="B32" s="6">
        <f>SUM(B31:B31)</f>
        <v>160.37</v>
      </c>
      <c r="C32" s="6">
        <f>SUM(C31:C31)</f>
        <v>160.37</v>
      </c>
      <c r="D32" s="6">
        <f>SUM(D31:D31)</f>
        <v>160.37</v>
      </c>
      <c r="E32" s="6">
        <f>SUM(E31:E31)</f>
        <v>160.37</v>
      </c>
      <c r="F32" s="6">
        <f>SUM(F31:F31)</f>
        <v>641.48</v>
      </c>
      <c r="G32" s="6">
        <f>F32/4</f>
        <v>160.37</v>
      </c>
    </row>
    <row r="34">
      <c r="A34" s="5" t="inlineStr">
        <is>
          <t xml:space="preserve">Groceries</t>
        </is>
      </c>
    </row>
    <row r="35">
      <c r="A35" s="12" t="inlineStr">
        <is>
          <t xml:space="preserve">Grocery – Lowes Foods</t>
        </is>
      </c>
      <c r="B35" s="3">
        <f>SUMIFS('All Transactions'!$F$5:$F$436,'All Transactions'!$D$5:$D$436,$A35,'All Transactions'!$A$5:$A$436,B$4)</f>
        <v>1145.69</v>
      </c>
      <c r="C35" s="3">
        <f>SUMIFS('All Transactions'!$F$5:$F$436,'All Transactions'!$D$5:$D$436,$A35,'All Transactions'!$A$5:$A$436,C$4)</f>
        <v>611.14</v>
      </c>
      <c r="D35" s="3">
        <f>SUMIFS('All Transactions'!$F$5:$F$436,'All Transactions'!$D$5:$D$436,$A35,'All Transactions'!$A$5:$A$436,D$4)</f>
        <v>584.25</v>
      </c>
      <c r="E35" s="3">
        <f>SUMIFS('All Transactions'!$F$5:$F$436,'All Transactions'!$D$5:$D$436,$A35,'All Transactions'!$A$5:$A$436,E$4)</f>
        <v>571.85</v>
      </c>
      <c r="F35" s="3">
        <f>SUM(B35:E35)</f>
        <v>2912.93</v>
      </c>
      <c r="G35" s="3">
        <f>F35/4</f>
        <v>728.2325</v>
      </c>
    </row>
    <row r="36">
      <c r="A36" s="12" t="inlineStr">
        <is>
          <t xml:space="preserve">Grocery – Publix</t>
        </is>
      </c>
      <c r="B36" s="3">
        <f>SUMIFS('All Transactions'!$F$5:$F$436,'All Transactions'!$D$5:$D$436,$A36,'All Transactions'!$A$5:$A$436,B$4)</f>
        <v>120.71</v>
      </c>
      <c r="C36" s="3">
        <f>SUMIFS('All Transactions'!$F$5:$F$436,'All Transactions'!$D$5:$D$436,$A36,'All Transactions'!$A$5:$A$436,C$4)</f>
        <v>331.43</v>
      </c>
      <c r="D36" s="3">
        <f>SUMIFS('All Transactions'!$F$5:$F$436,'All Transactions'!$D$5:$D$436,$A36,'All Transactions'!$A$5:$A$436,D$4)</f>
        <v>522.68</v>
      </c>
      <c r="E36" s="3">
        <f>SUMIFS('All Transactions'!$F$5:$F$436,'All Transactions'!$D$5:$D$436,$A36,'All Transactions'!$A$5:$A$436,E$4)</f>
        <v>630.65</v>
      </c>
      <c r="F36" s="3">
        <f>SUM(B36:E36)</f>
        <v>1605.47</v>
      </c>
      <c r="G36" s="3">
        <f>F36/4</f>
        <v>401.3675</v>
      </c>
    </row>
    <row r="37">
      <c r="A37" s="12" t="inlineStr">
        <is>
          <t xml:space="preserve">Grocery – Food Lion</t>
        </is>
      </c>
      <c r="B37" s="3">
        <f>SUMIFS('All Transactions'!$F$5:$F$436,'All Transactions'!$D$5:$D$436,$A37,'All Transactions'!$A$5:$A$436,B$4)</f>
        <v>0</v>
      </c>
      <c r="C37" s="3">
        <f>SUMIFS('All Transactions'!$F$5:$F$436,'All Transactions'!$D$5:$D$436,$A37,'All Transactions'!$A$5:$A$436,C$4)</f>
        <v>336.67</v>
      </c>
      <c r="D37" s="3">
        <f>SUMIFS('All Transactions'!$F$5:$F$436,'All Transactions'!$D$5:$D$436,$A37,'All Transactions'!$A$5:$A$436,D$4)</f>
        <v>77.34</v>
      </c>
      <c r="E37" s="3">
        <f>SUMIFS('All Transactions'!$F$5:$F$436,'All Transactions'!$D$5:$D$436,$A37,'All Transactions'!$A$5:$A$436,E$4)</f>
        <v>0</v>
      </c>
      <c r="F37" s="3">
        <f>SUM(B37:E37)</f>
        <v>414.01</v>
      </c>
      <c r="G37" s="3">
        <f>F37/4</f>
        <v>103.5025</v>
      </c>
    </row>
    <row r="38">
      <c r="A38" s="7" t="inlineStr">
        <is>
          <t xml:space="preserve">Total Groceries</t>
        </is>
      </c>
      <c r="B38" s="6">
        <f>SUM(B35:B37)</f>
        <v>1266.4</v>
      </c>
      <c r="C38" s="6">
        <f>SUM(C35:C37)</f>
        <v>1279.24</v>
      </c>
      <c r="D38" s="6">
        <f>SUM(D35:D37)</f>
        <v>1184.27</v>
      </c>
      <c r="E38" s="6">
        <f>SUM(E35:E37)</f>
        <v>1202.5</v>
      </c>
      <c r="F38" s="6">
        <f>SUM(F35:F37)</f>
        <v>4932.41</v>
      </c>
      <c r="G38" s="6">
        <f>F38/4</f>
        <v>1233.1025</v>
      </c>
    </row>
    <row r="40">
      <c r="A40" s="5" t="inlineStr">
        <is>
          <t xml:space="preserve">Food</t>
        </is>
      </c>
    </row>
    <row r="41">
      <c r="A41" s="12" t="inlineStr">
        <is>
          <t xml:space="preserve">Other Food Stores (Harris Teeter, Beach Pantry)</t>
        </is>
      </c>
      <c r="B41" s="3">
        <f>SUMIFS('All Transactions'!$F$5:$F$436,'All Transactions'!$D$5:$D$436,$A41,'All Transactions'!$A$5:$A$436,B$4)</f>
        <v>263.35</v>
      </c>
      <c r="C41" s="3">
        <f>SUMIFS('All Transactions'!$F$5:$F$436,'All Transactions'!$D$5:$D$436,$A41,'All Transactions'!$A$5:$A$436,C$4)</f>
        <v>0</v>
      </c>
      <c r="D41" s="3">
        <f>SUMIFS('All Transactions'!$F$5:$F$436,'All Transactions'!$D$5:$D$436,$A41,'All Transactions'!$A$5:$A$436,D$4)</f>
        <v>5.85</v>
      </c>
      <c r="E41" s="3">
        <f>SUMIFS('All Transactions'!$F$5:$F$436,'All Transactions'!$D$5:$D$436,$A41,'All Transactions'!$A$5:$A$436,E$4)</f>
        <v>0</v>
      </c>
      <c r="F41" s="3">
        <f>SUM(B41:E41)</f>
        <v>269.2</v>
      </c>
      <c r="G41" s="3">
        <f>F41/4</f>
        <v>67.3</v>
      </c>
    </row>
    <row r="42">
      <c r="A42" s="12" t="inlineStr">
        <is>
          <t xml:space="preserve">Restaurants &amp; Takeout</t>
        </is>
      </c>
      <c r="B42" s="3">
        <f>SUMIFS('All Transactions'!$F$5:$F$436,'All Transactions'!$D$5:$D$436,$A42,'All Transactions'!$A$5:$A$436,B$4)</f>
        <v>1019.45</v>
      </c>
      <c r="C42" s="3">
        <f>SUMIFS('All Transactions'!$F$5:$F$436,'All Transactions'!$D$5:$D$436,$A42,'All Transactions'!$A$5:$A$436,C$4)</f>
        <v>909.94</v>
      </c>
      <c r="D42" s="3">
        <f>SUMIFS('All Transactions'!$F$5:$F$436,'All Transactions'!$D$5:$D$436,$A42,'All Transactions'!$A$5:$A$436,D$4)</f>
        <v>962.62</v>
      </c>
      <c r="E42" s="3">
        <f>SUMIFS('All Transactions'!$F$5:$F$436,'All Transactions'!$D$5:$D$436,$A42,'All Transactions'!$A$5:$A$436,E$4)</f>
        <v>839.3</v>
      </c>
      <c r="F42" s="3">
        <f>SUM(B42:E42)</f>
        <v>3731.31</v>
      </c>
      <c r="G42" s="3">
        <f>F42/4</f>
        <v>932.8275</v>
      </c>
    </row>
    <row r="43">
      <c r="A43" s="7" t="inlineStr">
        <is>
          <t xml:space="preserve">Total Food</t>
        </is>
      </c>
      <c r="B43" s="6">
        <f>SUM(B41:B42)</f>
        <v>1282.8</v>
      </c>
      <c r="C43" s="6">
        <f>SUM(C41:C42)</f>
        <v>909.94</v>
      </c>
      <c r="D43" s="6">
        <f>SUM(D41:D42)</f>
        <v>968.47</v>
      </c>
      <c r="E43" s="6">
        <f>SUM(E41:E42)</f>
        <v>839.3</v>
      </c>
      <c r="F43" s="6">
        <f>SUM(F41:F42)</f>
        <v>4000.51</v>
      </c>
      <c r="G43" s="6">
        <f>F43/4</f>
        <v>1000.1275</v>
      </c>
    </row>
    <row r="45">
      <c r="A45" s="5" t="inlineStr">
        <is>
          <t xml:space="preserve">Transportation</t>
        </is>
      </c>
    </row>
    <row r="46">
      <c r="A46" s="12" t="inlineStr">
        <is>
          <t xml:space="preserve">Gas &amp; Convenience Stores</t>
        </is>
      </c>
      <c r="B46" s="3">
        <f>SUMIFS('All Transactions'!$F$5:$F$436,'All Transactions'!$D$5:$D$436,$A46,'All Transactions'!$A$5:$A$436,B$4)</f>
        <v>108.9</v>
      </c>
      <c r="C46" s="3">
        <f>SUMIFS('All Transactions'!$F$5:$F$436,'All Transactions'!$D$5:$D$436,$A46,'All Transactions'!$A$5:$A$436,C$4)</f>
        <v>277.87</v>
      </c>
      <c r="D46" s="3">
        <f>SUMIFS('All Transactions'!$F$5:$F$436,'All Transactions'!$D$5:$D$436,$A46,'All Transactions'!$A$5:$A$436,D$4)</f>
        <v>167.24</v>
      </c>
      <c r="E46" s="3">
        <f>SUMIFS('All Transactions'!$F$5:$F$436,'All Transactions'!$D$5:$D$436,$A46,'All Transactions'!$A$5:$A$436,E$4)</f>
        <v>238.98</v>
      </c>
      <c r="F46" s="3">
        <f>SUM(B46:E46)</f>
        <v>792.99</v>
      </c>
      <c r="G46" s="3">
        <f>F46/4</f>
        <v>198.2475</v>
      </c>
    </row>
    <row r="47">
      <c r="A47" s="12" t="inlineStr">
        <is>
          <t xml:space="preserve">Tolls &amp; Parking</t>
        </is>
      </c>
      <c r="B47" s="3">
        <f>SUMIFS('All Transactions'!$F$5:$F$436,'All Transactions'!$D$5:$D$436,$A47,'All Transactions'!$A$5:$A$436,B$4)</f>
        <v>5.84</v>
      </c>
      <c r="C47" s="3">
        <f>SUMIFS('All Transactions'!$F$5:$F$436,'All Transactions'!$D$5:$D$436,$A47,'All Transactions'!$A$5:$A$436,C$4)</f>
        <v>0</v>
      </c>
      <c r="D47" s="3">
        <f>SUMIFS('All Transactions'!$F$5:$F$436,'All Transactions'!$D$5:$D$436,$A47,'All Transactions'!$A$5:$A$436,D$4)</f>
        <v>18.44</v>
      </c>
      <c r="E47" s="3">
        <f>SUMIFS('All Transactions'!$F$5:$F$436,'All Transactions'!$D$5:$D$436,$A47,'All Transactions'!$A$5:$A$436,E$4)</f>
        <v>68.24</v>
      </c>
      <c r="F47" s="3">
        <f>SUM(B47:E47)</f>
        <v>92.52</v>
      </c>
      <c r="G47" s="3">
        <f>F47/4</f>
        <v>23.13</v>
      </c>
    </row>
    <row r="48">
      <c r="A48" s="7" t="inlineStr">
        <is>
          <t xml:space="preserve">Total Transportation</t>
        </is>
      </c>
      <c r="B48" s="6">
        <f>SUM(B46:B47)</f>
        <v>114.74</v>
      </c>
      <c r="C48" s="6">
        <f>SUM(C46:C47)</f>
        <v>277.87</v>
      </c>
      <c r="D48" s="6">
        <f>SUM(D46:D47)</f>
        <v>185.68</v>
      </c>
      <c r="E48" s="6">
        <f>SUM(E46:E47)</f>
        <v>307.22</v>
      </c>
      <c r="F48" s="6">
        <f>SUM(F46:F47)</f>
        <v>885.51</v>
      </c>
      <c r="G48" s="6">
        <f>F48/4</f>
        <v>221.3775</v>
      </c>
    </row>
    <row r="50">
      <c r="A50" s="5" t="inlineStr">
        <is>
          <t xml:space="preserve">Streaming</t>
        </is>
      </c>
    </row>
    <row r="51">
      <c r="A51" s="12" t="inlineStr">
        <is>
          <t xml:space="preserve">Streaming – YouTube TV (Google)</t>
        </is>
      </c>
      <c r="B51" s="3">
        <f>SUMIFS('All Transactions'!$F$5:$F$436,'All Transactions'!$D$5:$D$436,$A51,'All Transactions'!$A$5:$A$436,B$4)</f>
        <v>100.78</v>
      </c>
      <c r="C51" s="3">
        <f>SUMIFS('All Transactions'!$F$5:$F$436,'All Transactions'!$D$5:$D$436,$A51,'All Transactions'!$A$5:$A$436,C$4)</f>
        <v>100.78</v>
      </c>
      <c r="D51" s="3">
        <f>SUMIFS('All Transactions'!$F$5:$F$436,'All Transactions'!$D$5:$D$436,$A51,'All Transactions'!$A$5:$A$436,D$4)</f>
        <v>89.0</v>
      </c>
      <c r="E51" s="3">
        <f>SUMIFS('All Transactions'!$F$5:$F$436,'All Transactions'!$D$5:$D$436,$A51,'All Transactions'!$A$5:$A$436,E$4)</f>
        <v>132.43</v>
      </c>
      <c r="F51" s="3">
        <f>SUM(B51:E51)</f>
        <v>422.99</v>
      </c>
      <c r="G51" s="3">
        <f>F51/4</f>
        <v>105.7475</v>
      </c>
    </row>
    <row r="52">
      <c r="A52" s="12" t="inlineStr">
        <is>
          <t xml:space="preserve">Streaming – ESPN (Sept billed as Disney Plus)</t>
        </is>
      </c>
      <c r="B52" s="3">
        <f>SUMIFS('All Transactions'!$F$5:$F$436,'All Transactions'!$D$5:$D$436,$A52,'All Transactions'!$A$5:$A$436,B$4)</f>
        <v>13.87</v>
      </c>
      <c r="C52" s="3">
        <f>SUMIFS('All Transactions'!$F$5:$F$436,'All Transactions'!$D$5:$D$436,$A52,'All Transactions'!$A$5:$A$436,C$4)</f>
        <v>13.87</v>
      </c>
      <c r="D52" s="3">
        <f>SUMIFS('All Transactions'!$F$5:$F$436,'All Transactions'!$D$5:$D$436,$A52,'All Transactions'!$A$5:$A$436,D$4)</f>
        <v>13.87</v>
      </c>
      <c r="E52" s="3">
        <f>SUMIFS('All Transactions'!$F$5:$F$436,'All Transactions'!$D$5:$D$436,$A52,'All Transactions'!$A$5:$A$436,E$4)</f>
        <v>13.87</v>
      </c>
      <c r="F52" s="3">
        <f>SUM(B52:E52)</f>
        <v>55.48</v>
      </c>
      <c r="G52" s="3">
        <f>F52/4</f>
        <v>13.87</v>
      </c>
    </row>
    <row r="53">
      <c r="A53" s="12" t="inlineStr">
        <is>
          <t xml:space="preserve">Streaming – Disney (via Roku)</t>
        </is>
      </c>
      <c r="B53" s="3">
        <f>SUMIFS('All Transactions'!$F$5:$F$436,'All Transactions'!$D$5:$D$436,$A53,'All Transactions'!$A$5:$A$436,B$4)</f>
        <v>20.27</v>
      </c>
      <c r="C53" s="3">
        <f>SUMIFS('All Transactions'!$F$5:$F$436,'All Transactions'!$D$5:$D$436,$A53,'All Transactions'!$A$5:$A$436,C$4)</f>
        <v>20.27</v>
      </c>
      <c r="D53" s="3">
        <f>SUMIFS('All Transactions'!$F$5:$F$436,'All Transactions'!$D$5:$D$436,$A53,'All Transactions'!$A$5:$A$436,D$4)</f>
        <v>20.27</v>
      </c>
      <c r="E53" s="3">
        <f>SUMIFS('All Transactions'!$F$5:$F$436,'All Transactions'!$D$5:$D$436,$A53,'All Transactions'!$A$5:$A$436,E$4)</f>
        <v>20.27</v>
      </c>
      <c r="F53" s="3">
        <f>SUM(B53:E53)</f>
        <v>81.08</v>
      </c>
      <c r="G53" s="3">
        <f>F53/4</f>
        <v>20.27</v>
      </c>
    </row>
    <row r="54">
      <c r="A54" s="12" t="inlineStr">
        <is>
          <t xml:space="preserve">Streaming – HBO Max</t>
        </is>
      </c>
      <c r="B54" s="3">
        <f>SUMIFS('All Transactions'!$F$5:$F$436,'All Transactions'!$D$5:$D$436,$A54,'All Transactions'!$A$5:$A$436,B$4)</f>
        <v>19.74</v>
      </c>
      <c r="C54" s="3">
        <f>SUMIFS('All Transactions'!$F$5:$F$436,'All Transactions'!$D$5:$D$436,$A54,'All Transactions'!$A$5:$A$436,C$4)</f>
        <v>19.74</v>
      </c>
      <c r="D54" s="3">
        <f>SUMIFS('All Transactions'!$F$5:$F$436,'All Transactions'!$D$5:$D$436,$A54,'All Transactions'!$A$5:$A$436,D$4)</f>
        <v>0</v>
      </c>
      <c r="E54" s="3">
        <f>SUMIFS('All Transactions'!$F$5:$F$436,'All Transactions'!$D$5:$D$436,$A54,'All Transactions'!$A$5:$A$436,E$4)</f>
        <v>0</v>
      </c>
      <c r="F54" s="3">
        <f>SUM(B54:E54)</f>
        <v>39.48</v>
      </c>
      <c r="G54" s="3">
        <f>F54/4</f>
        <v>9.87</v>
      </c>
    </row>
    <row r="55">
      <c r="A55" s="12" t="inlineStr">
        <is>
          <t xml:space="preserve">Streaming – Hulu</t>
        </is>
      </c>
      <c r="B55" s="3">
        <f>SUMIFS('All Transactions'!$F$5:$F$436,'All Transactions'!$D$5:$D$436,$A55,'All Transactions'!$A$5:$A$436,B$4)</f>
        <v>0</v>
      </c>
      <c r="C55" s="3">
        <f>SUMIFS('All Transactions'!$F$5:$F$436,'All Transactions'!$D$5:$D$436,$A55,'All Transactions'!$A$5:$A$436,C$4)</f>
        <v>12.8</v>
      </c>
      <c r="D55" s="3">
        <f>SUMIFS('All Transactions'!$F$5:$F$436,'All Transactions'!$D$5:$D$436,$A55,'All Transactions'!$A$5:$A$436,D$4)</f>
        <v>12.8</v>
      </c>
      <c r="E55" s="3">
        <f>SUMIFS('All Transactions'!$F$5:$F$436,'All Transactions'!$D$5:$D$436,$A55,'All Transactions'!$A$5:$A$436,E$4)</f>
        <v>0</v>
      </c>
      <c r="F55" s="3">
        <f>SUM(B55:E55)</f>
        <v>25.6</v>
      </c>
      <c r="G55" s="3">
        <f>F55/4</f>
        <v>6.4</v>
      </c>
    </row>
    <row r="56">
      <c r="A56" s="12" t="inlineStr">
        <is>
          <t xml:space="preserve">Streaming – Peacock (via Roku)</t>
        </is>
      </c>
      <c r="B56" s="3">
        <f>SUMIFS('All Transactions'!$F$5:$F$436,'All Transactions'!$D$5:$D$436,$A56,'All Transactions'!$A$5:$A$436,B$4)</f>
        <v>11.73</v>
      </c>
      <c r="C56" s="3">
        <f>SUMIFS('All Transactions'!$F$5:$F$436,'All Transactions'!$D$5:$D$436,$A56,'All Transactions'!$A$5:$A$436,C$4)</f>
        <v>11.73</v>
      </c>
      <c r="D56" s="3">
        <f>SUMIFS('All Transactions'!$F$5:$F$436,'All Transactions'!$D$5:$D$436,$A56,'All Transactions'!$A$5:$A$436,D$4)</f>
        <v>0</v>
      </c>
      <c r="E56" s="3">
        <f>SUMIFS('All Transactions'!$F$5:$F$436,'All Transactions'!$D$5:$D$436,$A56,'All Transactions'!$A$5:$A$436,E$4)</f>
        <v>0</v>
      </c>
      <c r="F56" s="3">
        <f>SUM(B56:E56)</f>
        <v>23.46</v>
      </c>
      <c r="G56" s="3">
        <f>F56/4</f>
        <v>5.865</v>
      </c>
    </row>
    <row r="57">
      <c r="A57" s="12" t="inlineStr">
        <is>
          <t xml:space="preserve">Streaming – Frndly TV</t>
        </is>
      </c>
      <c r="B57" s="3">
        <f>SUMIFS('All Transactions'!$F$5:$F$436,'All Transactions'!$D$5:$D$436,$A57,'All Transactions'!$A$5:$A$436,B$4)</f>
        <v>22.41</v>
      </c>
      <c r="C57" s="3">
        <f>SUMIFS('All Transactions'!$F$5:$F$436,'All Transactions'!$D$5:$D$436,$A57,'All Transactions'!$A$5:$A$436,C$4)</f>
        <v>22.41</v>
      </c>
      <c r="D57" s="3">
        <f>SUMIFS('All Transactions'!$F$5:$F$436,'All Transactions'!$D$5:$D$436,$A57,'All Transactions'!$A$5:$A$436,D$4)</f>
        <v>22.41</v>
      </c>
      <c r="E57" s="3">
        <f>SUMIFS('All Transactions'!$F$5:$F$436,'All Transactions'!$D$5:$D$436,$A57,'All Transactions'!$A$5:$A$436,E$4)</f>
        <v>22.41</v>
      </c>
      <c r="F57" s="3">
        <f>SUM(B57:E57)</f>
        <v>89.64</v>
      </c>
      <c r="G57" s="3">
        <f>F57/4</f>
        <v>22.41</v>
      </c>
    </row>
    <row r="58">
      <c r="A58" s="12" t="inlineStr">
        <is>
          <t xml:space="preserve">Streaming – Netflix</t>
        </is>
      </c>
      <c r="B58" s="3">
        <f>SUMIFS('All Transactions'!$F$5:$F$436,'All Transactions'!$D$5:$D$436,$A58,'All Transactions'!$A$5:$A$436,B$4)</f>
        <v>0</v>
      </c>
      <c r="C58" s="3">
        <f>SUMIFS('All Transactions'!$F$5:$F$436,'All Transactions'!$D$5:$D$436,$A58,'All Transactions'!$A$5:$A$436,C$4)</f>
        <v>0</v>
      </c>
      <c r="D58" s="3">
        <f>SUMIFS('All Transactions'!$F$5:$F$436,'All Transactions'!$D$5:$D$436,$A58,'All Transactions'!$A$5:$A$436,D$4)</f>
        <v>0</v>
      </c>
      <c r="E58" s="3">
        <f>SUMIFS('All Transactions'!$F$5:$F$436,'All Transactions'!$D$5:$D$436,$A58,'All Transactions'!$A$5:$A$436,E$4)</f>
        <v>0</v>
      </c>
      <c r="F58" s="3">
        <f>SUM(B58:E58)</f>
        <v>0</v>
      </c>
      <c r="G58" s="3">
        <f>F58/4</f>
        <v>0.0</v>
      </c>
    </row>
    <row r="59">
      <c r="A59" s="7" t="inlineStr">
        <is>
          <t xml:space="preserve">Total Streaming</t>
        </is>
      </c>
      <c r="B59" s="6">
        <f>SUM(B51:B58)</f>
        <v>188.8</v>
      </c>
      <c r="C59" s="6">
        <f>SUM(C51:C58)</f>
        <v>201.6</v>
      </c>
      <c r="D59" s="6">
        <f>SUM(D51:D58)</f>
        <v>158.35</v>
      </c>
      <c r="E59" s="6">
        <f>SUM(E51:E58)</f>
        <v>188.98</v>
      </c>
      <c r="F59" s="6">
        <f>SUM(F51:F58)</f>
        <v>737.73</v>
      </c>
      <c r="G59" s="6">
        <f>F59/4</f>
        <v>184.4325</v>
      </c>
    </row>
    <row r="61">
      <c r="A61" s="5" t="inlineStr">
        <is>
          <t xml:space="preserve">Subscriptions</t>
        </is>
      </c>
    </row>
    <row r="62">
      <c r="A62" s="12" t="inlineStr">
        <is>
          <t xml:space="preserve">Software &amp; Online Subscriptions</t>
        </is>
      </c>
      <c r="B62" s="3">
        <f>SUMIFS('All Transactions'!$F$5:$F$436,'All Transactions'!$D$5:$D$436,$A62,'All Transactions'!$A$5:$A$436,B$4)</f>
        <v>141.73</v>
      </c>
      <c r="C62" s="3">
        <f>SUMIFS('All Transactions'!$F$5:$F$436,'All Transactions'!$D$5:$D$436,$A62,'All Transactions'!$A$5:$A$436,C$4)</f>
        <v>161.05</v>
      </c>
      <c r="D62" s="3">
        <f>SUMIFS('All Transactions'!$F$5:$F$436,'All Transactions'!$D$5:$D$436,$A62,'All Transactions'!$A$5:$A$436,D$4)</f>
        <v>65.98</v>
      </c>
      <c r="E62" s="3">
        <f>SUMIFS('All Transactions'!$F$5:$F$436,'All Transactions'!$D$5:$D$436,$A62,'All Transactions'!$A$5:$A$436,E$4)</f>
        <v>0</v>
      </c>
      <c r="F62" s="3">
        <f>SUM(B62:E62)</f>
        <v>368.76</v>
      </c>
      <c r="G62" s="3">
        <f>F62/4</f>
        <v>92.19</v>
      </c>
    </row>
    <row r="63">
      <c r="A63" s="7" t="inlineStr">
        <is>
          <t xml:space="preserve">Total Subscriptions</t>
        </is>
      </c>
      <c r="B63" s="6">
        <f>SUM(B62:B62)</f>
        <v>141.73</v>
      </c>
      <c r="C63" s="6">
        <f>SUM(C62:C62)</f>
        <v>161.05</v>
      </c>
      <c r="D63" s="6">
        <f>SUM(D62:D62)</f>
        <v>65.98</v>
      </c>
      <c r="E63" s="6">
        <f>SUM(E62:E62)</f>
        <v>0</v>
      </c>
      <c r="F63" s="6">
        <f>SUM(F62:F62)</f>
        <v>368.76</v>
      </c>
      <c r="G63" s="6">
        <f>F63/4</f>
        <v>92.19</v>
      </c>
    </row>
    <row r="65">
      <c r="A65" s="5" t="inlineStr">
        <is>
          <t xml:space="preserve">Health</t>
        </is>
      </c>
    </row>
    <row r="66">
      <c r="A66" s="12" t="inlineStr">
        <is>
          <t xml:space="preserve">CVS Pharmacy</t>
        </is>
      </c>
      <c r="B66" s="3">
        <f>SUMIFS('All Transactions'!$F$5:$F$436,'All Transactions'!$D$5:$D$436,$A66,'All Transactions'!$A$5:$A$436,B$4)</f>
        <v>160.07</v>
      </c>
      <c r="C66" s="3">
        <f>SUMIFS('All Transactions'!$F$5:$F$436,'All Transactions'!$D$5:$D$436,$A66,'All Transactions'!$A$5:$A$436,C$4)</f>
        <v>100.93</v>
      </c>
      <c r="D66" s="3">
        <f>SUMIFS('All Transactions'!$F$5:$F$436,'All Transactions'!$D$5:$D$436,$A66,'All Transactions'!$A$5:$A$436,D$4)</f>
        <v>383.24</v>
      </c>
      <c r="E66" s="3">
        <f>SUMIFS('All Transactions'!$F$5:$F$436,'All Transactions'!$D$5:$D$436,$A66,'All Transactions'!$A$5:$A$436,E$4)</f>
        <v>0</v>
      </c>
      <c r="F66" s="3">
        <f>SUM(B66:E66)</f>
        <v>644.24</v>
      </c>
      <c r="G66" s="3">
        <f>F66/4</f>
        <v>161.06</v>
      </c>
    </row>
    <row r="67">
      <c r="A67" s="12" t="inlineStr">
        <is>
          <t xml:space="preserve">Medical – Dosher Hospital (Southport)</t>
        </is>
      </c>
      <c r="B67" s="3">
        <f>SUMIFS('All Transactions'!$F$5:$F$436,'All Transactions'!$D$5:$D$436,$A67,'All Transactions'!$A$5:$A$436,B$4)</f>
        <v>0</v>
      </c>
      <c r="C67" s="3">
        <f>SUMIFS('All Transactions'!$F$5:$F$436,'All Transactions'!$D$5:$D$436,$A67,'All Transactions'!$A$5:$A$436,C$4)</f>
        <v>0</v>
      </c>
      <c r="D67" s="3">
        <f>SUMIFS('All Transactions'!$F$5:$F$436,'All Transactions'!$D$5:$D$436,$A67,'All Transactions'!$A$5:$A$436,D$4)</f>
        <v>467.66</v>
      </c>
      <c r="E67" s="3">
        <f>SUMIFS('All Transactions'!$F$5:$F$436,'All Transactions'!$D$5:$D$436,$A67,'All Transactions'!$A$5:$A$436,E$4)</f>
        <v>100.28</v>
      </c>
      <c r="F67" s="3">
        <f>SUM(B67:E67)</f>
        <v>567.94</v>
      </c>
      <c r="G67" s="3">
        <f>F67/4</f>
        <v>141.985</v>
      </c>
    </row>
    <row r="68">
      <c r="A68" s="12" t="inlineStr">
        <is>
          <t xml:space="preserve">Medical – Wilmington Eye</t>
        </is>
      </c>
      <c r="B68" s="3">
        <f>SUMIFS('All Transactions'!$F$5:$F$436,'All Transactions'!$D$5:$D$436,$A68,'All Transactions'!$A$5:$A$436,B$4)</f>
        <v>0</v>
      </c>
      <c r="C68" s="3">
        <f>SUMIFS('All Transactions'!$F$5:$F$436,'All Transactions'!$D$5:$D$436,$A68,'All Transactions'!$A$5:$A$436,C$4)</f>
        <v>0</v>
      </c>
      <c r="D68" s="3">
        <f>SUMIFS('All Transactions'!$F$5:$F$436,'All Transactions'!$D$5:$D$436,$A68,'All Transactions'!$A$5:$A$436,D$4)</f>
        <v>0</v>
      </c>
      <c r="E68" s="3">
        <f>SUMIFS('All Transactions'!$F$5:$F$436,'All Transactions'!$D$5:$D$436,$A68,'All Transactions'!$A$5:$A$436,E$4)</f>
        <v>60.0</v>
      </c>
      <c r="F68" s="3">
        <f>SUM(B68:E68)</f>
        <v>60.0</v>
      </c>
      <c r="G68" s="3">
        <f>F68/4</f>
        <v>15.0</v>
      </c>
    </row>
    <row r="69">
      <c r="A69" s="12" t="inlineStr">
        <is>
          <t xml:space="preserve">Medical – Granville Medical Center (Oxford)</t>
        </is>
      </c>
      <c r="B69" s="3">
        <f>SUMIFS('All Transactions'!$F$5:$F$436,'All Transactions'!$D$5:$D$436,$A69,'All Transactions'!$A$5:$A$436,B$4)</f>
        <v>0</v>
      </c>
      <c r="C69" s="3">
        <f>SUMIFS('All Transactions'!$F$5:$F$436,'All Transactions'!$D$5:$D$436,$A69,'All Transactions'!$A$5:$A$436,C$4)</f>
        <v>25.16</v>
      </c>
      <c r="D69" s="3">
        <f>SUMIFS('All Transactions'!$F$5:$F$436,'All Transactions'!$D$5:$D$436,$A69,'All Transactions'!$A$5:$A$436,D$4)</f>
        <v>0</v>
      </c>
      <c r="E69" s="3">
        <f>SUMIFS('All Transactions'!$F$5:$F$436,'All Transactions'!$D$5:$D$436,$A69,'All Transactions'!$A$5:$A$436,E$4)</f>
        <v>0</v>
      </c>
      <c r="F69" s="3">
        <f>SUM(B69:E69)</f>
        <v>25.16</v>
      </c>
      <c r="G69" s="3">
        <f>F69/4</f>
        <v>6.29</v>
      </c>
    </row>
    <row r="70">
      <c r="A70" s="12" t="inlineStr">
        <is>
          <t xml:space="preserve">Medical – Duke Hospital (Durham, food &amp; parking)</t>
        </is>
      </c>
      <c r="B70" s="3">
        <f>SUMIFS('All Transactions'!$F$5:$F$436,'All Transactions'!$D$5:$D$436,$A70,'All Transactions'!$A$5:$A$436,B$4)</f>
        <v>0</v>
      </c>
      <c r="C70" s="3">
        <f>SUMIFS('All Transactions'!$F$5:$F$436,'All Transactions'!$D$5:$D$436,$A70,'All Transactions'!$A$5:$A$436,C$4)</f>
        <v>0</v>
      </c>
      <c r="D70" s="3">
        <f>SUMIFS('All Transactions'!$F$5:$F$436,'All Transactions'!$D$5:$D$436,$A70,'All Transactions'!$A$5:$A$436,D$4)</f>
        <v>0</v>
      </c>
      <c r="E70" s="3">
        <f>SUMIFS('All Transactions'!$F$5:$F$436,'All Transactions'!$D$5:$D$436,$A70,'All Transactions'!$A$5:$A$436,E$4)</f>
        <v>14.75</v>
      </c>
      <c r="F70" s="3">
        <f>SUM(B70:E70)</f>
        <v>14.75</v>
      </c>
      <c r="G70" s="3">
        <f>F70/4</f>
        <v>3.6875</v>
      </c>
    </row>
    <row r="71">
      <c r="A71" s="7" t="inlineStr">
        <is>
          <t xml:space="preserve">Total Health</t>
        </is>
      </c>
      <c r="B71" s="6">
        <f>SUM(B66:B70)</f>
        <v>160.07</v>
      </c>
      <c r="C71" s="6">
        <f>SUM(C66:C70)</f>
        <v>126.09</v>
      </c>
      <c r="D71" s="6">
        <f>SUM(D66:D70)</f>
        <v>850.9</v>
      </c>
      <c r="E71" s="6">
        <f>SUM(E66:E70)</f>
        <v>175.03</v>
      </c>
      <c r="F71" s="6">
        <f>SUM(F66:F70)</f>
        <v>1312.09</v>
      </c>
      <c r="G71" s="6">
        <f>F71/4</f>
        <v>328.0225</v>
      </c>
    </row>
    <row r="73">
      <c r="A73" s="5" t="inlineStr">
        <is>
          <t xml:space="preserve">Personal</t>
        </is>
      </c>
    </row>
    <row r="74">
      <c r="A74" s="12" t="inlineStr">
        <is>
          <t xml:space="preserve">Haircuts – The Color Bar</t>
        </is>
      </c>
      <c r="B74" s="3">
        <f>SUMIFS('All Transactions'!$F$5:$F$436,'All Transactions'!$D$5:$D$436,$A74,'All Transactions'!$A$5:$A$436,B$4)</f>
        <v>182.5</v>
      </c>
      <c r="C74" s="3">
        <f>SUMIFS('All Transactions'!$F$5:$F$436,'All Transactions'!$D$5:$D$436,$A74,'All Transactions'!$A$5:$A$436,C$4)</f>
        <v>0</v>
      </c>
      <c r="D74" s="3">
        <f>SUMIFS('All Transactions'!$F$5:$F$436,'All Transactions'!$D$5:$D$436,$A74,'All Transactions'!$A$5:$A$436,D$4)</f>
        <v>182.5</v>
      </c>
      <c r="E74" s="3">
        <f>SUMIFS('All Transactions'!$F$5:$F$436,'All Transactions'!$D$5:$D$436,$A74,'All Transactions'!$A$5:$A$436,E$4)</f>
        <v>32.5</v>
      </c>
      <c r="F74" s="3">
        <f>SUM(B74:E74)</f>
        <v>397.5</v>
      </c>
      <c r="G74" s="3">
        <f>F74/4</f>
        <v>99.375</v>
      </c>
    </row>
    <row r="75">
      <c r="A75" s="12" t="inlineStr">
        <is>
          <t xml:space="preserve">Personal Care – Simple Beauty</t>
        </is>
      </c>
      <c r="B75" s="3">
        <f>SUMIFS('All Transactions'!$F$5:$F$436,'All Transactions'!$D$5:$D$436,$A75,'All Transactions'!$A$5:$A$436,B$4)</f>
        <v>0</v>
      </c>
      <c r="C75" s="3">
        <f>SUMIFS('All Transactions'!$F$5:$F$436,'All Transactions'!$D$5:$D$436,$A75,'All Transactions'!$A$5:$A$436,C$4)</f>
        <v>0</v>
      </c>
      <c r="D75" s="3">
        <f>SUMIFS('All Transactions'!$F$5:$F$436,'All Transactions'!$D$5:$D$436,$A75,'All Transactions'!$A$5:$A$436,D$4)</f>
        <v>0</v>
      </c>
      <c r="E75" s="3">
        <f>SUMIFS('All Transactions'!$F$5:$F$436,'All Transactions'!$D$5:$D$436,$A75,'All Transactions'!$A$5:$A$436,E$4)</f>
        <v>82.0</v>
      </c>
      <c r="F75" s="3">
        <f>SUM(B75:E75)</f>
        <v>82.0</v>
      </c>
      <c r="G75" s="3">
        <f>F75/4</f>
        <v>20.5</v>
      </c>
    </row>
    <row r="76">
      <c r="A76" s="7" t="inlineStr">
        <is>
          <t xml:space="preserve">Total Personal</t>
        </is>
      </c>
      <c r="B76" s="6">
        <f>SUM(B74:B75)</f>
        <v>182.5</v>
      </c>
      <c r="C76" s="6">
        <f>SUM(C74:C75)</f>
        <v>0</v>
      </c>
      <c r="D76" s="6">
        <f>SUM(D74:D75)</f>
        <v>182.5</v>
      </c>
      <c r="E76" s="6">
        <f>SUM(E74:E75)</f>
        <v>114.5</v>
      </c>
      <c r="F76" s="6">
        <f>SUM(F74:F75)</f>
        <v>479.5</v>
      </c>
      <c r="G76" s="6">
        <f>F76/4</f>
        <v>119.875</v>
      </c>
    </row>
    <row r="78">
      <c r="A78" s="5" t="inlineStr">
        <is>
          <t xml:space="preserve">Retail</t>
        </is>
      </c>
    </row>
    <row r="79">
      <c r="A79" s="12" t="inlineStr">
        <is>
          <t xml:space="preserve">Retail – Walmart</t>
        </is>
      </c>
      <c r="B79" s="3">
        <f>SUMIFS('All Transactions'!$F$5:$F$436,'All Transactions'!$D$5:$D$436,$A79,'All Transactions'!$A$5:$A$436,B$4)</f>
        <v>0</v>
      </c>
      <c r="C79" s="3">
        <f>SUMIFS('All Transactions'!$F$5:$F$436,'All Transactions'!$D$5:$D$436,$A79,'All Transactions'!$A$5:$A$436,C$4)</f>
        <v>132.66</v>
      </c>
      <c r="D79" s="3">
        <f>SUMIFS('All Transactions'!$F$5:$F$436,'All Transactions'!$D$5:$D$436,$A79,'All Transactions'!$A$5:$A$436,D$4)</f>
        <v>1732.6</v>
      </c>
      <c r="E79" s="3">
        <f>SUMIFS('All Transactions'!$F$5:$F$436,'All Transactions'!$D$5:$D$436,$A79,'All Transactions'!$A$5:$A$436,E$4)</f>
        <v>32.63</v>
      </c>
      <c r="F79" s="3">
        <f>SUM(B79:E79)</f>
        <v>1897.89</v>
      </c>
      <c r="G79" s="3">
        <f>F79/4</f>
        <v>474.4725</v>
      </c>
    </row>
    <row r="80">
      <c r="A80" s="12" t="inlineStr">
        <is>
          <t xml:space="preserve">Retail – Belk (store card payments)</t>
        </is>
      </c>
      <c r="B80" s="3">
        <f>SUMIFS('All Transactions'!$F$5:$F$436,'All Transactions'!$D$5:$D$436,$A80,'All Transactions'!$A$5:$A$436,B$4)</f>
        <v>386.69</v>
      </c>
      <c r="C80" s="3">
        <f>SUMIFS('All Transactions'!$F$5:$F$436,'All Transactions'!$D$5:$D$436,$A80,'All Transactions'!$A$5:$A$436,C$4)</f>
        <v>948.04</v>
      </c>
      <c r="D80" s="3">
        <f>SUMIFS('All Transactions'!$F$5:$F$436,'All Transactions'!$D$5:$D$436,$A80,'All Transactions'!$A$5:$A$436,D$4)</f>
        <v>0</v>
      </c>
      <c r="E80" s="3">
        <f>SUMIFS('All Transactions'!$F$5:$F$436,'All Transactions'!$D$5:$D$436,$A80,'All Transactions'!$A$5:$A$436,E$4)</f>
        <v>0</v>
      </c>
      <c r="F80" s="3">
        <f>SUM(B80:E80)</f>
        <v>1334.73</v>
      </c>
      <c r="G80" s="3">
        <f>F80/4</f>
        <v>333.6825</v>
      </c>
    </row>
    <row r="81">
      <c r="A81" s="12" t="inlineStr">
        <is>
          <t xml:space="preserve">Retail – Marshalls</t>
        </is>
      </c>
      <c r="B81" s="3">
        <f>SUMIFS('All Transactions'!$F$5:$F$436,'All Transactions'!$D$5:$D$436,$A81,'All Transactions'!$A$5:$A$436,B$4)</f>
        <v>0</v>
      </c>
      <c r="C81" s="3">
        <f>SUMIFS('All Transactions'!$F$5:$F$436,'All Transactions'!$D$5:$D$436,$A81,'All Transactions'!$A$5:$A$436,C$4)</f>
        <v>0</v>
      </c>
      <c r="D81" s="3">
        <f>SUMIFS('All Transactions'!$F$5:$F$436,'All Transactions'!$D$5:$D$436,$A81,'All Transactions'!$A$5:$A$436,D$4)</f>
        <v>0</v>
      </c>
      <c r="E81" s="3">
        <f>SUMIFS('All Transactions'!$F$5:$F$436,'All Transactions'!$D$5:$D$436,$A81,'All Transactions'!$A$5:$A$436,E$4)</f>
        <v>41.59</v>
      </c>
      <c r="F81" s="3">
        <f>SUM(B81:E81)</f>
        <v>41.59</v>
      </c>
      <c r="G81" s="3">
        <f>F81/4</f>
        <v>10.3975</v>
      </c>
    </row>
    <row r="82">
      <c r="A82" s="12" t="inlineStr">
        <is>
          <t xml:space="preserve">Retail – Ross</t>
        </is>
      </c>
      <c r="B82" s="3">
        <f>SUMIFS('All Transactions'!$F$5:$F$436,'All Transactions'!$D$5:$D$436,$A82,'All Transactions'!$A$5:$A$436,B$4)</f>
        <v>48.03</v>
      </c>
      <c r="C82" s="3">
        <f>SUMIFS('All Transactions'!$F$5:$F$436,'All Transactions'!$D$5:$D$436,$A82,'All Transactions'!$A$5:$A$436,C$4)</f>
        <v>0</v>
      </c>
      <c r="D82" s="3">
        <f>SUMIFS('All Transactions'!$F$5:$F$436,'All Transactions'!$D$5:$D$436,$A82,'All Transactions'!$A$5:$A$436,D$4)</f>
        <v>0</v>
      </c>
      <c r="E82" s="3">
        <f>SUMIFS('All Transactions'!$F$5:$F$436,'All Transactions'!$D$5:$D$436,$A82,'All Transactions'!$A$5:$A$436,E$4)</f>
        <v>16.32</v>
      </c>
      <c r="F82" s="3">
        <f>SUM(B82:E82)</f>
        <v>64.35</v>
      </c>
      <c r="G82" s="3">
        <f>F82/4</f>
        <v>16.0875</v>
      </c>
    </row>
    <row r="83">
      <c r="A83" s="12" t="inlineStr">
        <is>
          <t xml:space="preserve">Retail – Dillard's</t>
        </is>
      </c>
      <c r="B83" s="3">
        <f>SUMIFS('All Transactions'!$F$5:$F$436,'All Transactions'!$D$5:$D$436,$A83,'All Transactions'!$A$5:$A$436,B$4)</f>
        <v>0</v>
      </c>
      <c r="C83" s="3">
        <f>SUMIFS('All Transactions'!$F$5:$F$436,'All Transactions'!$D$5:$D$436,$A83,'All Transactions'!$A$5:$A$436,C$4)</f>
        <v>0</v>
      </c>
      <c r="D83" s="3">
        <f>SUMIFS('All Transactions'!$F$5:$F$436,'All Transactions'!$D$5:$D$436,$A83,'All Transactions'!$A$5:$A$436,D$4)</f>
        <v>174.74</v>
      </c>
      <c r="E83" s="3">
        <f>SUMIFS('All Transactions'!$F$5:$F$436,'All Transactions'!$D$5:$D$436,$A83,'All Transactions'!$A$5:$A$436,E$4)</f>
        <v>0</v>
      </c>
      <c r="F83" s="3">
        <f>SUM(B83:E83)</f>
        <v>174.74</v>
      </c>
      <c r="G83" s="3">
        <f>F83/4</f>
        <v>43.685</v>
      </c>
    </row>
    <row r="84">
      <c r="A84" s="12" t="inlineStr">
        <is>
          <t xml:space="preserve">Retail – Target</t>
        </is>
      </c>
      <c r="B84" s="3">
        <f>SUMIFS('All Transactions'!$F$5:$F$436,'All Transactions'!$D$5:$D$436,$A84,'All Transactions'!$A$5:$A$436,B$4)</f>
        <v>58.98</v>
      </c>
      <c r="C84" s="3">
        <f>SUMIFS('All Transactions'!$F$5:$F$436,'All Transactions'!$D$5:$D$436,$A84,'All Transactions'!$A$5:$A$436,C$4)</f>
        <v>0</v>
      </c>
      <c r="D84" s="3">
        <f>SUMIFS('All Transactions'!$F$5:$F$436,'All Transactions'!$D$5:$D$436,$A84,'All Transactions'!$A$5:$A$436,D$4)</f>
        <v>0</v>
      </c>
      <c r="E84" s="3">
        <f>SUMIFS('All Transactions'!$F$5:$F$436,'All Transactions'!$D$5:$D$436,$A84,'All Transactions'!$A$5:$A$436,E$4)</f>
        <v>0</v>
      </c>
      <c r="F84" s="3">
        <f>SUM(B84:E84)</f>
        <v>58.98</v>
      </c>
      <c r="G84" s="3">
        <f>F84/4</f>
        <v>14.745</v>
      </c>
    </row>
    <row r="85">
      <c r="A85" s="12" t="inlineStr">
        <is>
          <t xml:space="preserve">Retail – HomeSense</t>
        </is>
      </c>
      <c r="B85" s="3">
        <f>SUMIFS('All Transactions'!$F$5:$F$436,'All Transactions'!$D$5:$D$436,$A85,'All Transactions'!$A$5:$A$436,B$4)</f>
        <v>0</v>
      </c>
      <c r="C85" s="3">
        <f>SUMIFS('All Transactions'!$F$5:$F$436,'All Transactions'!$D$5:$D$436,$A85,'All Transactions'!$A$5:$A$436,C$4)</f>
        <v>0</v>
      </c>
      <c r="D85" s="3">
        <f>SUMIFS('All Transactions'!$F$5:$F$436,'All Transactions'!$D$5:$D$436,$A85,'All Transactions'!$A$5:$A$436,D$4)</f>
        <v>88.7</v>
      </c>
      <c r="E85" s="3">
        <f>SUMIFS('All Transactions'!$F$5:$F$436,'All Transactions'!$D$5:$D$436,$A85,'All Transactions'!$A$5:$A$436,E$4)</f>
        <v>0</v>
      </c>
      <c r="F85" s="3">
        <f>SUM(B85:E85)</f>
        <v>88.7</v>
      </c>
      <c r="G85" s="3">
        <f>F85/4</f>
        <v>22.175</v>
      </c>
    </row>
    <row r="86">
      <c r="A86" s="12" t="inlineStr">
        <is>
          <t xml:space="preserve">Retail – Hobby Lobby</t>
        </is>
      </c>
      <c r="B86" s="3">
        <f>SUMIFS('All Transactions'!$F$5:$F$436,'All Transactions'!$D$5:$D$436,$A86,'All Transactions'!$A$5:$A$436,B$4)</f>
        <v>0</v>
      </c>
      <c r="C86" s="3">
        <f>SUMIFS('All Transactions'!$F$5:$F$436,'All Transactions'!$D$5:$D$436,$A86,'All Transactions'!$A$5:$A$436,C$4)</f>
        <v>0</v>
      </c>
      <c r="D86" s="3">
        <f>SUMIFS('All Transactions'!$F$5:$F$436,'All Transactions'!$D$5:$D$436,$A86,'All Transactions'!$A$5:$A$436,D$4)</f>
        <v>165.67</v>
      </c>
      <c r="E86" s="3">
        <f>SUMIFS('All Transactions'!$F$5:$F$436,'All Transactions'!$D$5:$D$436,$A86,'All Transactions'!$A$5:$A$436,E$4)</f>
        <v>37.33</v>
      </c>
      <c r="F86" s="3">
        <f>SUM(B86:E86)</f>
        <v>203.0</v>
      </c>
      <c r="G86" s="3">
        <f>F86/4</f>
        <v>50.75</v>
      </c>
    </row>
    <row r="87">
      <c r="A87" s="12" t="inlineStr">
        <is>
          <t xml:space="preserve">Retail – Lowe's (home improvement)</t>
        </is>
      </c>
      <c r="B87" s="3">
        <f>SUMIFS('All Transactions'!$F$5:$F$436,'All Transactions'!$D$5:$D$436,$A87,'All Transactions'!$A$5:$A$436,B$4)</f>
        <v>27.67</v>
      </c>
      <c r="C87" s="3">
        <f>SUMIFS('All Transactions'!$F$5:$F$436,'All Transactions'!$D$5:$D$436,$A87,'All Transactions'!$A$5:$A$436,C$4)</f>
        <v>0</v>
      </c>
      <c r="D87" s="3">
        <f>SUMIFS('All Transactions'!$F$5:$F$436,'All Transactions'!$D$5:$D$436,$A87,'All Transactions'!$A$5:$A$436,D$4)</f>
        <v>171.55</v>
      </c>
      <c r="E87" s="3">
        <f>SUMIFS('All Transactions'!$F$5:$F$436,'All Transactions'!$D$5:$D$436,$A87,'All Transactions'!$A$5:$A$436,E$4)</f>
        <v>85.27</v>
      </c>
      <c r="F87" s="3">
        <f>SUM(B87:E87)</f>
        <v>284.49</v>
      </c>
      <c r="G87" s="3">
        <f>F87/4</f>
        <v>71.1225</v>
      </c>
    </row>
    <row r="88">
      <c r="A88" s="12" t="inlineStr">
        <is>
          <t xml:space="preserve">Retail – Cat on a Whisk</t>
        </is>
      </c>
      <c r="B88" s="3">
        <f>SUMIFS('All Transactions'!$F$5:$F$436,'All Transactions'!$D$5:$D$436,$A88,'All Transactions'!$A$5:$A$436,B$4)</f>
        <v>0</v>
      </c>
      <c r="C88" s="3">
        <f>SUMIFS('All Transactions'!$F$5:$F$436,'All Transactions'!$D$5:$D$436,$A88,'All Transactions'!$A$5:$A$436,C$4)</f>
        <v>0</v>
      </c>
      <c r="D88" s="3">
        <f>SUMIFS('All Transactions'!$F$5:$F$436,'All Transactions'!$D$5:$D$436,$A88,'All Transactions'!$A$5:$A$436,D$4)</f>
        <v>0</v>
      </c>
      <c r="E88" s="3">
        <f>SUMIFS('All Transactions'!$F$5:$F$436,'All Transactions'!$D$5:$D$436,$A88,'All Transactions'!$A$5:$A$436,E$4)</f>
        <v>24.51</v>
      </c>
      <c r="F88" s="3">
        <f>SUM(B88:E88)</f>
        <v>24.51</v>
      </c>
      <c r="G88" s="3">
        <f>F88/4</f>
        <v>6.1275</v>
      </c>
    </row>
    <row r="89">
      <c r="A89" s="12" t="inlineStr">
        <is>
          <t xml:space="preserve">Retail – Tractor Supply</t>
        </is>
      </c>
      <c r="B89" s="3">
        <f>SUMIFS('All Transactions'!$F$5:$F$436,'All Transactions'!$D$5:$D$436,$A89,'All Transactions'!$A$5:$A$436,B$4)</f>
        <v>0</v>
      </c>
      <c r="C89" s="3">
        <f>SUMIFS('All Transactions'!$F$5:$F$436,'All Transactions'!$D$5:$D$436,$A89,'All Transactions'!$A$5:$A$436,C$4)</f>
        <v>0</v>
      </c>
      <c r="D89" s="3">
        <f>SUMIFS('All Transactions'!$F$5:$F$436,'All Transactions'!$D$5:$D$436,$A89,'All Transactions'!$A$5:$A$436,D$4)</f>
        <v>29.86</v>
      </c>
      <c r="E89" s="3">
        <f>SUMIFS('All Transactions'!$F$5:$F$436,'All Transactions'!$D$5:$D$436,$A89,'All Transactions'!$A$5:$A$436,E$4)</f>
        <v>0</v>
      </c>
      <c r="F89" s="3">
        <f>SUM(B89:E89)</f>
        <v>29.86</v>
      </c>
      <c r="G89" s="3">
        <f>F89/4</f>
        <v>7.465</v>
      </c>
    </row>
    <row r="90">
      <c r="A90" s="12" t="inlineStr">
        <is>
          <t xml:space="preserve">Retail – Dick's Sporting Goods</t>
        </is>
      </c>
      <c r="B90" s="3">
        <f>SUMIFS('All Transactions'!$F$5:$F$436,'All Transactions'!$D$5:$D$436,$A90,'All Transactions'!$A$5:$A$436,B$4)</f>
        <v>0</v>
      </c>
      <c r="C90" s="3">
        <f>SUMIFS('All Transactions'!$F$5:$F$436,'All Transactions'!$D$5:$D$436,$A90,'All Transactions'!$A$5:$A$436,C$4)</f>
        <v>63.61</v>
      </c>
      <c r="D90" s="3">
        <f>SUMIFS('All Transactions'!$F$5:$F$436,'All Transactions'!$D$5:$D$436,$A90,'All Transactions'!$A$5:$A$436,D$4)</f>
        <v>0</v>
      </c>
      <c r="E90" s="3">
        <f>SUMIFS('All Transactions'!$F$5:$F$436,'All Transactions'!$D$5:$D$436,$A90,'All Transactions'!$A$5:$A$436,E$4)</f>
        <v>0</v>
      </c>
      <c r="F90" s="3">
        <f>SUM(B90:E90)</f>
        <v>63.61</v>
      </c>
      <c r="G90" s="3">
        <f>F90/4</f>
        <v>15.9025</v>
      </c>
    </row>
    <row r="91">
      <c r="A91" s="12" t="inlineStr">
        <is>
          <t xml:space="preserve">Retail – Ulta Beauty</t>
        </is>
      </c>
      <c r="B91" s="3">
        <f>SUMIFS('All Transactions'!$F$5:$F$436,'All Transactions'!$D$5:$D$436,$A91,'All Transactions'!$A$5:$A$436,B$4)</f>
        <v>134.71</v>
      </c>
      <c r="C91" s="3">
        <f>SUMIFS('All Transactions'!$F$5:$F$436,'All Transactions'!$D$5:$D$436,$A91,'All Transactions'!$A$5:$A$436,C$4)</f>
        <v>0</v>
      </c>
      <c r="D91" s="3">
        <f>SUMIFS('All Transactions'!$F$5:$F$436,'All Transactions'!$D$5:$D$436,$A91,'All Transactions'!$A$5:$A$436,D$4)</f>
        <v>0</v>
      </c>
      <c r="E91" s="3">
        <f>SUMIFS('All Transactions'!$F$5:$F$436,'All Transactions'!$D$5:$D$436,$A91,'All Transactions'!$A$5:$A$436,E$4)</f>
        <v>0</v>
      </c>
      <c r="F91" s="3">
        <f>SUM(B91:E91)</f>
        <v>134.71</v>
      </c>
      <c r="G91" s="3">
        <f>F91/4</f>
        <v>33.6775</v>
      </c>
    </row>
    <row r="92">
      <c r="A92" s="12" t="inlineStr">
        <is>
          <t xml:space="preserve">Retail – Bath &amp; Body Works</t>
        </is>
      </c>
      <c r="B92" s="3">
        <f>SUMIFS('All Transactions'!$F$5:$F$436,'All Transactions'!$D$5:$D$436,$A92,'All Transactions'!$A$5:$A$436,B$4)</f>
        <v>51.31</v>
      </c>
      <c r="C92" s="3">
        <f>SUMIFS('All Transactions'!$F$5:$F$436,'All Transactions'!$D$5:$D$436,$A92,'All Transactions'!$A$5:$A$436,C$4)</f>
        <v>0</v>
      </c>
      <c r="D92" s="3">
        <f>SUMIFS('All Transactions'!$F$5:$F$436,'All Transactions'!$D$5:$D$436,$A92,'All Transactions'!$A$5:$A$436,D$4)</f>
        <v>0</v>
      </c>
      <c r="E92" s="3">
        <f>SUMIFS('All Transactions'!$F$5:$F$436,'All Transactions'!$D$5:$D$436,$A92,'All Transactions'!$A$5:$A$436,E$4)</f>
        <v>0</v>
      </c>
      <c r="F92" s="3">
        <f>SUM(B92:E92)</f>
        <v>51.31</v>
      </c>
      <c r="G92" s="3">
        <f>F92/4</f>
        <v>12.8275</v>
      </c>
    </row>
    <row r="93">
      <c r="A93" s="12" t="inlineStr">
        <is>
          <t xml:space="preserve">Retail – Dollar Tree / Dollar General</t>
        </is>
      </c>
      <c r="B93" s="3">
        <f>SUMIFS('All Transactions'!$F$5:$F$436,'All Transactions'!$D$5:$D$436,$A93,'All Transactions'!$A$5:$A$436,B$4)</f>
        <v>0</v>
      </c>
      <c r="C93" s="3">
        <f>SUMIFS('All Transactions'!$F$5:$F$436,'All Transactions'!$D$5:$D$436,$A93,'All Transactions'!$A$5:$A$436,C$4)</f>
        <v>5.87</v>
      </c>
      <c r="D93" s="3">
        <f>SUMIFS('All Transactions'!$F$5:$F$436,'All Transactions'!$D$5:$D$436,$A93,'All Transactions'!$A$5:$A$436,D$4)</f>
        <v>17.35</v>
      </c>
      <c r="E93" s="3">
        <f>SUMIFS('All Transactions'!$F$5:$F$436,'All Transactions'!$D$5:$D$436,$A93,'All Transactions'!$A$5:$A$436,E$4)</f>
        <v>0</v>
      </c>
      <c r="F93" s="3">
        <f>SUM(B93:E93)</f>
        <v>23.22</v>
      </c>
      <c r="G93" s="3">
        <f>F93/4</f>
        <v>5.805</v>
      </c>
    </row>
    <row r="94">
      <c r="A94" s="12" t="inlineStr">
        <is>
          <t xml:space="preserve">Retail – Local shops (Hippie Chick, Southport Spices, Mad River, Coastal Carolina)</t>
        </is>
      </c>
      <c r="B94" s="3">
        <f>SUMIFS('All Transactions'!$F$5:$F$436,'All Transactions'!$D$5:$D$436,$A94,'All Transactions'!$A$5:$A$436,B$4)</f>
        <v>108.03</v>
      </c>
      <c r="C94" s="3">
        <f>SUMIFS('All Transactions'!$F$5:$F$436,'All Transactions'!$D$5:$D$436,$A94,'All Transactions'!$A$5:$A$436,C$4)</f>
        <v>0</v>
      </c>
      <c r="D94" s="3">
        <f>SUMIFS('All Transactions'!$F$5:$F$436,'All Transactions'!$D$5:$D$436,$A94,'All Transactions'!$A$5:$A$436,D$4)</f>
        <v>0</v>
      </c>
      <c r="E94" s="3">
        <f>SUMIFS('All Transactions'!$F$5:$F$436,'All Transactions'!$D$5:$D$436,$A94,'All Transactions'!$A$5:$A$436,E$4)</f>
        <v>119.97</v>
      </c>
      <c r="F94" s="3">
        <f>SUM(B94:E94)</f>
        <v>228.0</v>
      </c>
      <c r="G94" s="3">
        <f>F94/4</f>
        <v>57.0</v>
      </c>
    </row>
    <row r="95">
      <c r="A95" s="7" t="inlineStr">
        <is>
          <t xml:space="preserve">Total Retail</t>
        </is>
      </c>
      <c r="B95" s="6">
        <f>SUM(B79:B94)</f>
        <v>815.42</v>
      </c>
      <c r="C95" s="6">
        <f>SUM(C79:C94)</f>
        <v>1150.18</v>
      </c>
      <c r="D95" s="6">
        <f>SUM(D79:D94)</f>
        <v>2380.47</v>
      </c>
      <c r="E95" s="6">
        <f>SUM(E79:E94)</f>
        <v>357.62</v>
      </c>
      <c r="F95" s="6">
        <f>SUM(F79:F94)</f>
        <v>4703.69</v>
      </c>
      <c r="G95" s="6">
        <f>F95/4</f>
        <v>1175.9225</v>
      </c>
    </row>
    <row r="97">
      <c r="A97" s="5" t="inlineStr">
        <is>
          <t xml:space="preserve">Home</t>
        </is>
      </c>
    </row>
    <row r="98">
      <c r="A98" s="12" t="inlineStr">
        <is>
          <t xml:space="preserve">Yard Company (NextGen)</t>
        </is>
      </c>
      <c r="B98" s="3">
        <f>SUMIFS('All Transactions'!$F$5:$F$436,'All Transactions'!$D$5:$D$436,$A98,'All Transactions'!$A$5:$A$436,B$4)</f>
        <v>60.0</v>
      </c>
      <c r="C98" s="3">
        <f>SUMIFS('All Transactions'!$F$5:$F$436,'All Transactions'!$D$5:$D$436,$A98,'All Transactions'!$A$5:$A$436,C$4)</f>
        <v>100.0</v>
      </c>
      <c r="D98" s="3">
        <f>SUMIFS('All Transactions'!$F$5:$F$436,'All Transactions'!$D$5:$D$436,$A98,'All Transactions'!$A$5:$A$436,D$4)</f>
        <v>220.0</v>
      </c>
      <c r="E98" s="3">
        <f>SUMIFS('All Transactions'!$F$5:$F$436,'All Transactions'!$D$5:$D$436,$A98,'All Transactions'!$A$5:$A$436,E$4)</f>
        <v>120.0</v>
      </c>
      <c r="F98" s="3">
        <f>SUM(B98:E98)</f>
        <v>500.0</v>
      </c>
      <c r="G98" s="3">
        <f>F98/4</f>
        <v>125.0</v>
      </c>
    </row>
    <row r="99">
      <c r="A99" s="12" t="inlineStr">
        <is>
          <t xml:space="preserve">Home Services (Pest Control, Lawn Treatment)</t>
        </is>
      </c>
      <c r="B99" s="3">
        <f>SUMIFS('All Transactions'!$F$5:$F$436,'All Transactions'!$D$5:$D$436,$A99,'All Transactions'!$A$5:$A$436,B$4)</f>
        <v>0</v>
      </c>
      <c r="C99" s="3">
        <f>SUMIFS('All Transactions'!$F$5:$F$436,'All Transactions'!$D$5:$D$436,$A99,'All Transactions'!$A$5:$A$436,C$4)</f>
        <v>142.05</v>
      </c>
      <c r="D99" s="3">
        <f>SUMIFS('All Transactions'!$F$5:$F$436,'All Transactions'!$D$5:$D$436,$A99,'All Transactions'!$A$5:$A$436,D$4)</f>
        <v>104.0</v>
      </c>
      <c r="E99" s="3">
        <f>SUMIFS('All Transactions'!$F$5:$F$436,'All Transactions'!$D$5:$D$436,$A99,'All Transactions'!$A$5:$A$436,E$4)</f>
        <v>0</v>
      </c>
      <c r="F99" s="3">
        <f>SUM(B99:E99)</f>
        <v>246.05</v>
      </c>
      <c r="G99" s="3">
        <f>F99/4</f>
        <v>61.5125</v>
      </c>
    </row>
    <row r="100">
      <c r="A100" s="7" t="inlineStr">
        <is>
          <t xml:space="preserve">Total Home</t>
        </is>
      </c>
      <c r="B100" s="6">
        <f>SUM(B98:B99)</f>
        <v>60.0</v>
      </c>
      <c r="C100" s="6">
        <f>SUM(C98:C99)</f>
        <v>242.05</v>
      </c>
      <c r="D100" s="6">
        <f>SUM(D98:D99)</f>
        <v>324.0</v>
      </c>
      <c r="E100" s="6">
        <f>SUM(E98:E99)</f>
        <v>120.0</v>
      </c>
      <c r="F100" s="6">
        <f>SUM(F98:F99)</f>
        <v>746.05</v>
      </c>
      <c r="G100" s="6">
        <f>F100/4</f>
        <v>186.5125</v>
      </c>
    </row>
    <row r="102">
      <c r="A102" s="5" t="inlineStr">
        <is>
          <t xml:space="preserve">Travel</t>
        </is>
      </c>
    </row>
    <row r="103">
      <c r="A103" s="12" t="inlineStr">
        <is>
          <t xml:space="preserve">Travel (Lyft, Hotel)</t>
        </is>
      </c>
      <c r="B103" s="3">
        <f>SUMIFS('All Transactions'!$F$5:$F$436,'All Transactions'!$D$5:$D$436,$A103,'All Transactions'!$A$5:$A$436,B$4)</f>
        <v>102.65</v>
      </c>
      <c r="C103" s="3">
        <f>SUMIFS('All Transactions'!$F$5:$F$436,'All Transactions'!$D$5:$D$436,$A103,'All Transactions'!$A$5:$A$436,C$4)</f>
        <v>0</v>
      </c>
      <c r="D103" s="3">
        <f>SUMIFS('All Transactions'!$F$5:$F$436,'All Transactions'!$D$5:$D$436,$A103,'All Transactions'!$A$5:$A$436,D$4)</f>
        <v>0</v>
      </c>
      <c r="E103" s="3">
        <f>SUMIFS('All Transactions'!$F$5:$F$436,'All Transactions'!$D$5:$D$436,$A103,'All Transactions'!$A$5:$A$436,E$4)</f>
        <v>0</v>
      </c>
      <c r="F103" s="3">
        <f>SUM(B103:E103)</f>
        <v>102.65</v>
      </c>
      <c r="G103" s="3">
        <f>F103/4</f>
        <v>25.6625</v>
      </c>
    </row>
    <row r="104">
      <c r="A104" s="7" t="inlineStr">
        <is>
          <t xml:space="preserve">Total Travel</t>
        </is>
      </c>
      <c r="B104" s="6">
        <f>SUM(B103:B103)</f>
        <v>102.65</v>
      </c>
      <c r="C104" s="6">
        <f>SUM(C103:C103)</f>
        <v>0</v>
      </c>
      <c r="D104" s="6">
        <f>SUM(D103:D103)</f>
        <v>0</v>
      </c>
      <c r="E104" s="6">
        <f>SUM(E103:E103)</f>
        <v>0</v>
      </c>
      <c r="F104" s="6">
        <f>SUM(F103:F103)</f>
        <v>102.65</v>
      </c>
      <c r="G104" s="6">
        <f>F104/4</f>
        <v>25.6625</v>
      </c>
    </row>
    <row r="106">
      <c r="A106" s="5" t="inlineStr">
        <is>
          <t xml:space="preserve">Recreation</t>
        </is>
      </c>
    </row>
    <row r="107">
      <c r="A107" s="12" t="inlineStr">
        <is>
          <t xml:space="preserve">St. James Marina</t>
        </is>
      </c>
      <c r="B107" s="3">
        <f>SUMIFS('All Transactions'!$F$5:$F$436,'All Transactions'!$D$5:$D$436,$A107,'All Transactions'!$A$5:$A$436,B$4)</f>
        <v>0</v>
      </c>
      <c r="C107" s="3">
        <f>SUMIFS('All Transactions'!$F$5:$F$436,'All Transactions'!$D$5:$D$436,$A107,'All Transactions'!$A$5:$A$436,C$4)</f>
        <v>33.54</v>
      </c>
      <c r="D107" s="3">
        <f>SUMIFS('All Transactions'!$F$5:$F$436,'All Transactions'!$D$5:$D$436,$A107,'All Transactions'!$A$5:$A$436,D$4)</f>
        <v>0</v>
      </c>
      <c r="E107" s="3">
        <f>SUMIFS('All Transactions'!$F$5:$F$436,'All Transactions'!$D$5:$D$436,$A107,'All Transactions'!$A$5:$A$436,E$4)</f>
        <v>0</v>
      </c>
      <c r="F107" s="3">
        <f>SUM(B107:E107)</f>
        <v>33.54</v>
      </c>
      <c r="G107" s="3">
        <f>F107/4</f>
        <v>8.385</v>
      </c>
    </row>
    <row r="108">
      <c r="A108" s="12" t="inlineStr">
        <is>
          <t xml:space="preserve">Entertainment &amp; Events</t>
        </is>
      </c>
      <c r="B108" s="3">
        <f>SUMIFS('All Transactions'!$F$5:$F$436,'All Transactions'!$D$5:$D$436,$A108,'All Transactions'!$A$5:$A$436,B$4)</f>
        <v>0</v>
      </c>
      <c r="C108" s="3">
        <f>SUMIFS('All Transactions'!$F$5:$F$436,'All Transactions'!$D$5:$D$436,$A108,'All Transactions'!$A$5:$A$436,C$4)</f>
        <v>400.0</v>
      </c>
      <c r="D108" s="3">
        <f>SUMIFS('All Transactions'!$F$5:$F$436,'All Transactions'!$D$5:$D$436,$A108,'All Transactions'!$A$5:$A$436,D$4)</f>
        <v>13.5</v>
      </c>
      <c r="E108" s="3">
        <f>SUMIFS('All Transactions'!$F$5:$F$436,'All Transactions'!$D$5:$D$436,$A108,'All Transactions'!$A$5:$A$436,E$4)</f>
        <v>0</v>
      </c>
      <c r="F108" s="3">
        <f>SUM(B108:E108)</f>
        <v>413.5</v>
      </c>
      <c r="G108" s="3">
        <f>F108/4</f>
        <v>103.375</v>
      </c>
    </row>
    <row r="109">
      <c r="A109" s="7" t="inlineStr">
        <is>
          <t xml:space="preserve">Total Recreation</t>
        </is>
      </c>
      <c r="B109" s="6">
        <f>SUM(B107:B108)</f>
        <v>0</v>
      </c>
      <c r="C109" s="6">
        <f>SUM(C107:C108)</f>
        <v>433.54</v>
      </c>
      <c r="D109" s="6">
        <f>SUM(D107:D108)</f>
        <v>13.5</v>
      </c>
      <c r="E109" s="6">
        <f>SUM(E107:E108)</f>
        <v>0</v>
      </c>
      <c r="F109" s="6">
        <f>SUM(F107:F108)</f>
        <v>447.04</v>
      </c>
      <c r="G109" s="6">
        <f>F109/4</f>
        <v>111.76</v>
      </c>
    </row>
    <row r="111">
      <c r="A111" s="5" t="inlineStr">
        <is>
          <t xml:space="preserve">Transfers</t>
        </is>
      </c>
    </row>
    <row r="112">
      <c r="A112" s="12" t="inlineStr">
        <is>
          <t xml:space="preserve">Transfers to People (Venmo/Zelle)</t>
        </is>
      </c>
      <c r="B112" s="3">
        <f>SUMIFS('All Transactions'!$F$5:$F$436,'All Transactions'!$D$5:$D$436,$A112,'All Transactions'!$A$5:$A$436,B$4)</f>
        <v>75.0</v>
      </c>
      <c r="C112" s="3">
        <f>SUMIFS('All Transactions'!$F$5:$F$436,'All Transactions'!$D$5:$D$436,$A112,'All Transactions'!$A$5:$A$436,C$4)</f>
        <v>764.05</v>
      </c>
      <c r="D112" s="3">
        <f>SUMIFS('All Transactions'!$F$5:$F$436,'All Transactions'!$D$5:$D$436,$A112,'All Transactions'!$A$5:$A$436,D$4)</f>
        <v>331.5</v>
      </c>
      <c r="E112" s="3">
        <f>SUMIFS('All Transactions'!$F$5:$F$436,'All Transactions'!$D$5:$D$436,$A112,'All Transactions'!$A$5:$A$436,E$4)</f>
        <v>130.0</v>
      </c>
      <c r="F112" s="3">
        <f>SUM(B112:E112)</f>
        <v>1300.55</v>
      </c>
      <c r="G112" s="3">
        <f>F112/4</f>
        <v>325.1375</v>
      </c>
    </row>
    <row r="113">
      <c r="A113" s="7" t="inlineStr">
        <is>
          <t xml:space="preserve">Total Transfers</t>
        </is>
      </c>
      <c r="B113" s="6">
        <f>SUM(B112:B112)</f>
        <v>75.0</v>
      </c>
      <c r="C113" s="6">
        <f>SUM(C112:C112)</f>
        <v>764.05</v>
      </c>
      <c r="D113" s="6">
        <f>SUM(D112:D112)</f>
        <v>331.5</v>
      </c>
      <c r="E113" s="6">
        <f>SUM(E112:E112)</f>
        <v>130.0</v>
      </c>
      <c r="F113" s="6">
        <f>SUM(F112:F112)</f>
        <v>1300.55</v>
      </c>
      <c r="G113" s="6">
        <f>F113/4</f>
        <v>325.1375</v>
      </c>
    </row>
    <row r="115">
      <c r="A115" s="5" t="inlineStr">
        <is>
          <t xml:space="preserve">Other</t>
        </is>
      </c>
    </row>
    <row r="116">
      <c r="A116" s="12" t="inlineStr">
        <is>
          <t xml:space="preserve">Donations &amp; Clubs (Kiwanis)</t>
        </is>
      </c>
      <c r="B116" s="3">
        <f>SUMIFS('All Transactions'!$F$5:$F$436,'All Transactions'!$D$5:$D$436,$A116,'All Transactions'!$A$5:$A$436,B$4)</f>
        <v>0</v>
      </c>
      <c r="C116" s="3">
        <f>SUMIFS('All Transactions'!$F$5:$F$436,'All Transactions'!$D$5:$D$436,$A116,'All Transactions'!$A$5:$A$436,C$4)</f>
        <v>0</v>
      </c>
      <c r="D116" s="3">
        <f>SUMIFS('All Transactions'!$F$5:$F$436,'All Transactions'!$D$5:$D$436,$A116,'All Transactions'!$A$5:$A$436,D$4)</f>
        <v>0</v>
      </c>
      <c r="E116" s="3">
        <f>SUMIFS('All Transactions'!$F$5:$F$436,'All Transactions'!$D$5:$D$436,$A116,'All Transactions'!$A$5:$A$436,E$4)</f>
        <v>200.0</v>
      </c>
      <c r="F116" s="3">
        <f>SUM(B116:E116)</f>
        <v>200.0</v>
      </c>
      <c r="G116" s="3">
        <f>F116/4</f>
        <v>50.0</v>
      </c>
    </row>
    <row r="117">
      <c r="A117" s="12" t="inlineStr">
        <is>
          <t xml:space="preserve">Cash (ATM) &amp; Bank Fees</t>
        </is>
      </c>
      <c r="B117" s="3">
        <f>SUMIFS('All Transactions'!$F$5:$F$436,'All Transactions'!$D$5:$D$436,$A117,'All Transactions'!$A$5:$A$436,B$4)</f>
        <v>0</v>
      </c>
      <c r="C117" s="3">
        <f>SUMIFS('All Transactions'!$F$5:$F$436,'All Transactions'!$D$5:$D$436,$A117,'All Transactions'!$A$5:$A$436,C$4)</f>
        <v>0</v>
      </c>
      <c r="D117" s="3">
        <f>SUMIFS('All Transactions'!$F$5:$F$436,'All Transactions'!$D$5:$D$436,$A117,'All Transactions'!$A$5:$A$436,D$4)</f>
        <v>0</v>
      </c>
      <c r="E117" s="3">
        <f>SUMIFS('All Transactions'!$F$5:$F$436,'All Transactions'!$D$5:$D$436,$A117,'All Transactions'!$A$5:$A$436,E$4)</f>
        <v>147.0</v>
      </c>
      <c r="F117" s="3">
        <f>SUM(B117:E117)</f>
        <v>147.0</v>
      </c>
      <c r="G117" s="3">
        <f>F117/4</f>
        <v>36.75</v>
      </c>
    </row>
    <row r="118">
      <c r="A118" s="7" t="inlineStr">
        <is>
          <t xml:space="preserve">Total Other</t>
        </is>
      </c>
      <c r="B118" s="6">
        <f>SUM(B116:B117)</f>
        <v>0</v>
      </c>
      <c r="C118" s="6">
        <f>SUM(C116:C117)</f>
        <v>0</v>
      </c>
      <c r="D118" s="6">
        <f>SUM(D116:D117)</f>
        <v>0</v>
      </c>
      <c r="E118" s="6">
        <f>SUM(E116:E117)</f>
        <v>347.0</v>
      </c>
      <c r="F118" s="6">
        <f>SUM(F116:F117)</f>
        <v>347.0</v>
      </c>
      <c r="G118" s="6">
        <f>F118/4</f>
        <v>86.75</v>
      </c>
    </row>
    <row r="120">
      <c r="A120" s="8" t="inlineStr">
        <is>
          <t xml:space="preserve">TOTAL SPENDING</t>
        </is>
      </c>
      <c r="B120" s="9">
        <f>B10+B18+B23+B28+B32+B38+B43+B48+B59+B63+B71+B76+B95+B100+B104+B109+B113+B118</f>
        <v>12135.81</v>
      </c>
      <c r="C120" s="9">
        <f>C10+C18+C23+C28+C32+C38+C43+C48+C59+C63+C71+C76+C95+C100+C104+C109+C113+C118</f>
        <v>12563.24</v>
      </c>
      <c r="D120" s="9">
        <f>D10+D18+D23+D28+D32+D38+D43+D48+D59+D63+D71+D76+D95+D100+D104+D109+D113+D118</f>
        <v>14654.04</v>
      </c>
      <c r="E120" s="9">
        <f>E10+E18+E23+E28+E32+E38+E43+E48+E59+E63+E71+E76+E95+E100+E104+E109+E113+E118</f>
        <v>11515.63</v>
      </c>
      <c r="F120" s="9">
        <f>F10+F18+F23+F28+F32+F38+F43+F48+F59+F63+F71+F76+F95+F100+F104+F109+F113+F118</f>
        <v>50868.72</v>
      </c>
      <c r="G120" s="9">
        <f>F120/4</f>
        <v>12717.18</v>
      </c>
    </row>
    <row r="122">
      <c r="A122" s="5" t="inlineStr">
        <is>
          <t xml:space="preserve">Not counted as spending</t>
        </is>
      </c>
    </row>
    <row r="123">
      <c r="A123" s="12" t="inlineStr">
        <is>
          <t xml:space="preserve">WTW Health Premium (reimbursed by Via Benefits)</t>
        </is>
      </c>
      <c r="B123" s="3">
        <f>SUMIFS('All Transactions'!$F$5:$F$436,'All Transactions'!$D$5:$D$436,$A123,'All Transactions'!$A$5:$A$436,B$4)</f>
        <v>2576.0</v>
      </c>
      <c r="C123" s="3">
        <f>SUMIFS('All Transactions'!$F$5:$F$436,'All Transactions'!$D$5:$D$436,$A123,'All Transactions'!$A$5:$A$436,C$4)</f>
        <v>2576.0</v>
      </c>
      <c r="D123" s="3">
        <f>SUMIFS('All Transactions'!$F$5:$F$436,'All Transactions'!$D$5:$D$436,$A123,'All Transactions'!$A$5:$A$436,D$4)</f>
        <v>2576.0</v>
      </c>
      <c r="E123" s="3">
        <f>SUMIFS('All Transactions'!$F$5:$F$436,'All Transactions'!$D$5:$D$436,$A123,'All Transactions'!$A$5:$A$436,E$4)</f>
        <v>2576.0</v>
      </c>
      <c r="F123" s="3">
        <f>SUM(B123:E123)</f>
        <v>10304.0</v>
      </c>
      <c r="G123" s="3">
        <f>F123/4</f>
        <v>2576.0</v>
      </c>
    </row>
    <row r="124">
      <c r="A124" s="12" t="inlineStr">
        <is>
          <t xml:space="preserve">Credit Card Payoff – American Express</t>
        </is>
      </c>
      <c r="B124" s="3">
        <f>SUMIFS('All Transactions'!$F$5:$F$436,'All Transactions'!$D$5:$D$436,$A124,'All Transactions'!$A$5:$A$436,B$4)</f>
        <v>0</v>
      </c>
      <c r="C124" s="3">
        <f>SUMIFS('All Transactions'!$F$5:$F$436,'All Transactions'!$D$5:$D$436,$A124,'All Transactions'!$A$5:$A$436,C$4)</f>
        <v>7227.09</v>
      </c>
      <c r="D124" s="3">
        <f>SUMIFS('All Transactions'!$F$5:$F$436,'All Transactions'!$D$5:$D$436,$A124,'All Transactions'!$A$5:$A$436,D$4)</f>
        <v>4593.08</v>
      </c>
      <c r="E124" s="3">
        <f>SUMIFS('All Transactions'!$F$5:$F$436,'All Transactions'!$D$5:$D$436,$A124,'All Transactions'!$A$5:$A$436,E$4)</f>
        <v>4738.51</v>
      </c>
      <c r="F124" s="3">
        <f>SUM(B124:E124)</f>
        <v>16558.68</v>
      </c>
      <c r="G124" s="3">
        <f>F124/4</f>
        <v>4139.67</v>
      </c>
    </row>
    <row r="125">
      <c r="A125" s="12" t="inlineStr">
        <is>
          <t xml:space="preserve">Sloane Realty</t>
        </is>
      </c>
      <c r="B125" s="3">
        <f>SUMIFS('All Transactions'!$F$5:$F$436,'All Transactions'!$D$5:$D$436,$A125,'All Transactions'!$A$5:$A$436,B$4)</f>
        <v>0</v>
      </c>
      <c r="C125" s="3">
        <f>SUMIFS('All Transactions'!$F$5:$F$436,'All Transactions'!$D$5:$D$436,$A125,'All Transactions'!$A$5:$A$436,C$4)</f>
        <v>2891.98</v>
      </c>
      <c r="D125" s="3">
        <f>SUMIFS('All Transactions'!$F$5:$F$436,'All Transactions'!$D$5:$D$436,$A125,'All Transactions'!$A$5:$A$436,D$4)</f>
        <v>0</v>
      </c>
      <c r="E125" s="3">
        <f>SUMIFS('All Transactions'!$F$5:$F$436,'All Transactions'!$D$5:$D$436,$A125,'All Transactions'!$A$5:$A$436,E$4)</f>
        <v>0</v>
      </c>
      <c r="F125" s="3">
        <f>SUM(B125:E125)</f>
        <v>2891.98</v>
      </c>
      <c r="G125" s="3">
        <f>F125/4</f>
        <v>722.995</v>
      </c>
    </row>
    <row r="126">
      <c r="A126" s="12" t="inlineStr">
        <is>
          <t xml:space="preserve">Dust and Mop House</t>
        </is>
      </c>
      <c r="B126" s="3">
        <f>SUMIFS('All Transactions'!$F$5:$F$436,'All Transactions'!$D$5:$D$436,$A126,'All Transactions'!$A$5:$A$436,B$4)</f>
        <v>0</v>
      </c>
      <c r="C126" s="3">
        <f>SUMIFS('All Transactions'!$F$5:$F$436,'All Transactions'!$D$5:$D$436,$A126,'All Transactions'!$A$5:$A$436,C$4)</f>
        <v>100.0</v>
      </c>
      <c r="D126" s="3">
        <f>SUMIFS('All Transactions'!$F$5:$F$436,'All Transactions'!$D$5:$D$436,$A126,'All Transactions'!$A$5:$A$436,D$4)</f>
        <v>432.6</v>
      </c>
      <c r="E126" s="3">
        <f>SUMIFS('All Transactions'!$F$5:$F$436,'All Transactions'!$D$5:$D$436,$A126,'All Transactions'!$A$5:$A$436,E$4)</f>
        <v>0</v>
      </c>
      <c r="F126" s="3">
        <f>SUM(B126:E126)</f>
        <v>532.6</v>
      </c>
      <c r="G126" s="3">
        <f>F126/4</f>
        <v>133.15</v>
      </c>
    </row>
    <row r="127">
      <c r="A127" s="12" t="inlineStr">
        <is>
          <t xml:space="preserve">Checks Written (payee not shown)</t>
        </is>
      </c>
      <c r="B127" s="3">
        <f>SUMIFS('All Transactions'!$F$5:$F$436,'All Transactions'!$D$5:$D$436,$A127,'All Transactions'!$A$5:$A$436,B$4)</f>
        <v>2630.0</v>
      </c>
      <c r="C127" s="3">
        <f>SUMIFS('All Transactions'!$F$5:$F$436,'All Transactions'!$D$5:$D$436,$A127,'All Transactions'!$A$5:$A$436,C$4)</f>
        <v>0</v>
      </c>
      <c r="D127" s="3">
        <f>SUMIFS('All Transactions'!$F$5:$F$436,'All Transactions'!$D$5:$D$436,$A127,'All Transactions'!$A$5:$A$436,D$4)</f>
        <v>728.0</v>
      </c>
      <c r="E127" s="3">
        <f>SUMIFS('All Transactions'!$F$5:$F$436,'All Transactions'!$D$5:$D$436,$A127,'All Transactions'!$A$5:$A$436,E$4)</f>
        <v>0</v>
      </c>
      <c r="F127" s="3">
        <f>SUM(B127:E127)</f>
        <v>3358.0</v>
      </c>
      <c r="G127" s="3">
        <f>F127/4</f>
        <v>839.5</v>
      </c>
    </row>
    <row r="128">
      <c r="A128" s="12" t="inlineStr">
        <is>
          <t xml:space="preserve">Transfer to Own WF Account</t>
        </is>
      </c>
      <c r="B128" s="3">
        <f>SUMIFS('All Transactions'!$F$5:$F$436,'All Transactions'!$D$5:$D$436,$A128,'All Transactions'!$A$5:$A$436,B$4)</f>
        <v>0</v>
      </c>
      <c r="C128" s="3">
        <f>SUMIFS('All Transactions'!$F$5:$F$436,'All Transactions'!$D$5:$D$436,$A128,'All Transactions'!$A$5:$A$436,C$4)</f>
        <v>3.26</v>
      </c>
      <c r="D128" s="3">
        <f>SUMIFS('All Transactions'!$F$5:$F$436,'All Transactions'!$D$5:$D$436,$A128,'All Transactions'!$A$5:$A$436,D$4)</f>
        <v>0</v>
      </c>
      <c r="E128" s="3">
        <f>SUMIFS('All Transactions'!$F$5:$F$436,'All Transactions'!$D$5:$D$436,$A128,'All Transactions'!$A$5:$A$436,E$4)</f>
        <v>0</v>
      </c>
      <c r="F128" s="3">
        <f>SUM(B128:E128)</f>
        <v>3.26</v>
      </c>
      <c r="G128" s="3">
        <f>F128/4</f>
        <v>0.815</v>
      </c>
    </row>
    <row r="129">
      <c r="A129" s="7" t="inlineStr">
        <is>
          <t xml:space="preserve">Total not counted as spending</t>
        </is>
      </c>
      <c r="B129" s="6">
        <f>SUM(B123:B128)</f>
        <v>5206.0</v>
      </c>
      <c r="C129" s="6">
        <f>SUM(C123:C128)</f>
        <v>12798.33</v>
      </c>
      <c r="D129" s="6">
        <f>SUM(D123:D128)</f>
        <v>8329.68</v>
      </c>
      <c r="E129" s="6">
        <f>SUM(E123:E128)</f>
        <v>7314.51</v>
      </c>
      <c r="F129" s="6">
        <f>SUM(F123:F128)</f>
        <v>33648.52</v>
      </c>
      <c r="G129" s="6">
        <f>F129/4</f>
        <v>8412.13</v>
      </c>
    </row>
    <row r="131">
      <c r="A131" s="12" t="inlineStr">
        <is>
          <t xml:space="preserve">Check: spending + not-counted items</t>
        </is>
      </c>
      <c r="B131" s="3">
        <f>B120+B129</f>
        <v>17341.81</v>
      </c>
      <c r="C131" s="3">
        <f>C120+C129</f>
        <v>25361.57</v>
      </c>
      <c r="D131" s="3">
        <f>D120+D129</f>
        <v>22983.72</v>
      </c>
      <c r="E131" s="3">
        <f>E120+E129</f>
        <v>18830.14</v>
      </c>
      <c r="F131" s="3">
        <f>F120+F129</f>
        <v>84517.24</v>
      </c>
    </row>
    <row r="132">
      <c r="A132" s="12" t="inlineStr">
        <is>
          <t xml:space="preserve">Withdrawals/Subtractions per bank statement</t>
        </is>
      </c>
      <c r="B132" s="13">
        <v>17341.81</v>
      </c>
      <c r="C132" s="13">
        <v>25361.57</v>
      </c>
      <c r="D132" s="13">
        <v>22983.72</v>
      </c>
      <c r="E132" s="13">
        <v>18830.14</v>
      </c>
      <c r="F132" s="3">
        <f>SUM(B132:E132)</f>
        <v>84517.24</v>
      </c>
    </row>
    <row r="133">
      <c r="A133" s="12" t="inlineStr">
        <is>
          <t xml:space="preserve">Difference (should be $0 = every dollar accounted for)</t>
        </is>
      </c>
      <c r="B133" s="3">
        <f>B131-B132</f>
        <v>0.0</v>
      </c>
      <c r="C133" s="3">
        <f>C131-C132</f>
        <v>0.0</v>
      </c>
      <c r="D133" s="3">
        <f>D131-D132</f>
        <v>0.0</v>
      </c>
      <c r="E133" s="3">
        <f>E131-E132</f>
        <v>0.0</v>
      </c>
      <c r="F133" s="3">
        <f>F131-F132</f>
        <v>0.0</v>
      </c>
    </row>
    <row r="135">
      <c r="A135" s="5" t="inlineStr">
        <is>
          <t xml:space="preserve">Key Bills at a Glance</t>
        </is>
      </c>
    </row>
    <row r="136">
      <c r="A136" s="15" t="inlineStr">
        <is>
          <t xml:space="preserve">Bill</t>
        </is>
      </c>
      <c r="B136" s="1" t="inlineStr">
        <is>
          <t xml:space="preserve">June 2026</t>
        </is>
      </c>
      <c r="C136" s="1" t="inlineStr">
        <is>
          <t xml:space="preserve">July 2026</t>
        </is>
      </c>
      <c r="D136" s="1" t="inlineStr">
        <is>
          <t xml:space="preserve">August 2026</t>
        </is>
      </c>
      <c r="E136" s="1" t="inlineStr">
        <is>
          <t xml:space="preserve">September 2026</t>
        </is>
      </c>
      <c r="F136" s="1" t="inlineStr">
        <is>
          <t xml:space="preserve">4-Month Total</t>
        </is>
      </c>
      <c r="G136" s="1" t="inlineStr">
        <is>
          <t xml:space="preserve">Monthly Avg</t>
        </is>
      </c>
    </row>
    <row r="137">
      <c r="A137" s="12" t="inlineStr">
        <is>
          <t xml:space="preserve">A&amp;D Mortgage</t>
        </is>
      </c>
      <c r="B137" s="3">
        <f>SUMIFS('All Transactions'!$F$5:$F$436,'All Transactions'!$D$5:$D$436,$A137,'All Transactions'!$A$5:$A$436,B$4)</f>
        <v>3411.1</v>
      </c>
      <c r="C137" s="3">
        <f>SUMIFS('All Transactions'!$F$5:$F$436,'All Transactions'!$D$5:$D$436,$A137,'All Transactions'!$A$5:$A$436,C$4)</f>
        <v>3411.1</v>
      </c>
      <c r="D137" s="3">
        <f>SUMIFS('All Transactions'!$F$5:$F$436,'All Transactions'!$D$5:$D$436,$A137,'All Transactions'!$A$5:$A$436,D$4)</f>
        <v>3411.1</v>
      </c>
      <c r="E137" s="3">
        <f>SUMIFS('All Transactions'!$F$5:$F$436,'All Transactions'!$D$5:$D$436,$A137,'All Transactions'!$A$5:$A$436,E$4)</f>
        <v>3411.1</v>
      </c>
      <c r="F137" s="3">
        <f>SUM(B137:E137)</f>
        <v>13644.4</v>
      </c>
      <c r="G137" s="3">
        <f>F137/4</f>
        <v>3411.1</v>
      </c>
    </row>
    <row r="138">
      <c r="A138" s="12" t="inlineStr">
        <is>
          <t xml:space="preserve">St. James Membership (Club)</t>
        </is>
      </c>
      <c r="B138" s="3">
        <f>SUMIFS('All Transactions'!$F$5:$F$436,'All Transactions'!$D$5:$D$436,$A138,'All Transactions'!$A$5:$A$436,B$4)</f>
        <v>1591.78</v>
      </c>
      <c r="C138" s="3">
        <f>SUMIFS('All Transactions'!$F$5:$F$436,'All Transactions'!$D$5:$D$436,$A138,'All Transactions'!$A$5:$A$436,C$4)</f>
        <v>1601.56</v>
      </c>
      <c r="D138" s="3">
        <f>SUMIFS('All Transactions'!$F$5:$F$436,'All Transactions'!$D$5:$D$436,$A138,'All Transactions'!$A$5:$A$436,D$4)</f>
        <v>1492.11</v>
      </c>
      <c r="E138" s="3">
        <f>SUMIFS('All Transactions'!$F$5:$F$436,'All Transactions'!$D$5:$D$436,$A138,'All Transactions'!$A$5:$A$436,E$4)</f>
        <v>1767.0</v>
      </c>
      <c r="F138" s="3">
        <f>SUM(B138:E138)</f>
        <v>6452.45</v>
      </c>
      <c r="G138" s="3">
        <f>F138/4</f>
        <v>1613.1125</v>
      </c>
    </row>
    <row r="139">
      <c r="A139" s="12" t="inlineStr">
        <is>
          <t xml:space="preserve">St. James Plantation POA Dues</t>
        </is>
      </c>
      <c r="B139" s="3">
        <f>SUMIFS('All Transactions'!$F$5:$F$436,'All Transactions'!$D$5:$D$436,$A139,'All Transactions'!$A$5:$A$436,B$4)</f>
        <v>692.95</v>
      </c>
      <c r="C139" s="3">
        <f>SUMIFS('All Transactions'!$F$5:$F$436,'All Transactions'!$D$5:$D$436,$A139,'All Transactions'!$A$5:$A$436,C$4)</f>
        <v>0</v>
      </c>
      <c r="D139" s="3">
        <f>SUMIFS('All Transactions'!$F$5:$F$436,'All Transactions'!$D$5:$D$436,$A139,'All Transactions'!$A$5:$A$436,D$4)</f>
        <v>0</v>
      </c>
      <c r="E139" s="3">
        <f>SUMIFS('All Transactions'!$F$5:$F$436,'All Transactions'!$D$5:$D$436,$A139,'All Transactions'!$A$5:$A$436,E$4)</f>
        <v>0</v>
      </c>
      <c r="F139" s="3">
        <f>SUM(B139:E139)</f>
        <v>692.95</v>
      </c>
      <c r="G139" s="3">
        <f>F139/4</f>
        <v>173.2375</v>
      </c>
    </row>
    <row r="140">
      <c r="A140" s="12" t="inlineStr">
        <is>
          <t xml:space="preserve">Allstate Insurance</t>
        </is>
      </c>
      <c r="B140" s="3">
        <f>SUMIFS('All Transactions'!$F$5:$F$436,'All Transactions'!$D$5:$D$436,$A140,'All Transactions'!$A$5:$A$436,B$4)</f>
        <v>360.42</v>
      </c>
      <c r="C140" s="3">
        <f>SUMIFS('All Transactions'!$F$5:$F$436,'All Transactions'!$D$5:$D$436,$A140,'All Transactions'!$A$5:$A$436,C$4)</f>
        <v>360.42</v>
      </c>
      <c r="D140" s="3">
        <f>SUMIFS('All Transactions'!$F$5:$F$436,'All Transactions'!$D$5:$D$436,$A140,'All Transactions'!$A$5:$A$436,D$4)</f>
        <v>475.42</v>
      </c>
      <c r="E140" s="3">
        <f>SUMIFS('All Transactions'!$F$5:$F$436,'All Transactions'!$D$5:$D$436,$A140,'All Transactions'!$A$5:$A$436,E$4)</f>
        <v>354.17</v>
      </c>
      <c r="F140" s="3">
        <f>SUM(B140:E140)</f>
        <v>1550.43</v>
      </c>
      <c r="G140" s="3">
        <f>F140/4</f>
        <v>387.6075</v>
      </c>
    </row>
    <row r="141">
      <c r="A141" s="12" t="inlineStr">
        <is>
          <t xml:space="preserve">Life Insurance (Lincoln National)</t>
        </is>
      </c>
      <c r="B141" s="3">
        <f>SUMIFS('All Transactions'!$F$5:$F$436,'All Transactions'!$D$5:$D$436,$A141,'All Transactions'!$A$5:$A$436,B$4)</f>
        <v>79.21</v>
      </c>
      <c r="C141" s="3">
        <f>SUMIFS('All Transactions'!$F$5:$F$436,'All Transactions'!$D$5:$D$436,$A141,'All Transactions'!$A$5:$A$436,C$4)</f>
        <v>73.61</v>
      </c>
      <c r="D141" s="3">
        <f>SUMIFS('All Transactions'!$F$5:$F$436,'All Transactions'!$D$5:$D$436,$A141,'All Transactions'!$A$5:$A$436,D$4)</f>
        <v>73.61</v>
      </c>
      <c r="E141" s="3">
        <f>SUMIFS('All Transactions'!$F$5:$F$436,'All Transactions'!$D$5:$D$436,$A141,'All Transactions'!$A$5:$A$436,E$4)</f>
        <v>73.61</v>
      </c>
      <c r="F141" s="3">
        <f>SUM(B141:E141)</f>
        <v>300.04</v>
      </c>
      <c r="G141" s="3">
        <f>F141/4</f>
        <v>75.01</v>
      </c>
    </row>
    <row r="142">
      <c r="A142" s="12" t="inlineStr">
        <is>
          <t xml:space="preserve">Banner Life Insurance</t>
        </is>
      </c>
      <c r="B142" s="3">
        <f>SUMIFS('All Transactions'!$F$5:$F$436,'All Transactions'!$D$5:$D$436,$A142,'All Transactions'!$A$5:$A$436,B$4)</f>
        <v>710.06</v>
      </c>
      <c r="C142" s="3">
        <f>SUMIFS('All Transactions'!$F$5:$F$436,'All Transactions'!$D$5:$D$436,$A142,'All Transactions'!$A$5:$A$436,C$4)</f>
        <v>710.06</v>
      </c>
      <c r="D142" s="3">
        <f>SUMIFS('All Transactions'!$F$5:$F$436,'All Transactions'!$D$5:$D$436,$A142,'All Transactions'!$A$5:$A$436,D$4)</f>
        <v>710.06</v>
      </c>
      <c r="E142" s="3">
        <f>SUMIFS('All Transactions'!$F$5:$F$436,'All Transactions'!$D$5:$D$436,$A142,'All Transactions'!$A$5:$A$436,E$4)</f>
        <v>710.06</v>
      </c>
      <c r="F142" s="3">
        <f>SUM(B142:E142)</f>
        <v>2840.24</v>
      </c>
      <c r="G142" s="3">
        <f>F142/4</f>
        <v>710.06</v>
      </c>
    </row>
    <row r="143">
      <c r="A143" s="12" t="inlineStr">
        <is>
          <t xml:space="preserve">Dental Insurance – Delta Dental</t>
        </is>
      </c>
      <c r="B143" s="3">
        <f>SUMIFS('All Transactions'!$F$5:$F$436,'All Transactions'!$D$5:$D$436,$A143,'All Transactions'!$A$5:$A$436,B$4)</f>
        <v>69.36</v>
      </c>
      <c r="C143" s="3">
        <f>SUMIFS('All Transactions'!$F$5:$F$436,'All Transactions'!$D$5:$D$436,$A143,'All Transactions'!$A$5:$A$436,C$4)</f>
        <v>69.36</v>
      </c>
      <c r="D143" s="3">
        <f>SUMIFS('All Transactions'!$F$5:$F$436,'All Transactions'!$D$5:$D$436,$A143,'All Transactions'!$A$5:$A$436,D$4)</f>
        <v>69.36</v>
      </c>
      <c r="E143" s="3">
        <f>SUMIFS('All Transactions'!$F$5:$F$436,'All Transactions'!$D$5:$D$436,$A143,'All Transactions'!$A$5:$A$436,E$4)</f>
        <v>69.36</v>
      </c>
      <c r="F143" s="3">
        <f>SUM(B143:E143)</f>
        <v>277.44</v>
      </c>
      <c r="G143" s="3">
        <f>F143/4</f>
        <v>69.36</v>
      </c>
    </row>
    <row r="144">
      <c r="A144" s="12" t="inlineStr">
        <is>
          <t xml:space="preserve">Verizon Wireless</t>
        </is>
      </c>
      <c r="B144" s="3">
        <f>SUMIFS('All Transactions'!$F$5:$F$436,'All Transactions'!$D$5:$D$436,$A144,'All Transactions'!$A$5:$A$436,B$4)</f>
        <v>294.57</v>
      </c>
      <c r="C144" s="3">
        <f>SUMIFS('All Transactions'!$F$5:$F$436,'All Transactions'!$D$5:$D$436,$A144,'All Transactions'!$A$5:$A$436,C$4)</f>
        <v>294.8</v>
      </c>
      <c r="D144" s="3">
        <f>SUMIFS('All Transactions'!$F$5:$F$436,'All Transactions'!$D$5:$D$436,$A144,'All Transactions'!$A$5:$A$436,D$4)</f>
        <v>436.02</v>
      </c>
      <c r="E144" s="3">
        <f>SUMIFS('All Transactions'!$F$5:$F$436,'All Transactions'!$D$5:$D$436,$A144,'All Transactions'!$A$5:$A$436,E$4)</f>
        <v>386.85</v>
      </c>
      <c r="F144" s="3">
        <f>SUM(B144:E144)</f>
        <v>1412.24</v>
      </c>
      <c r="G144" s="3">
        <f>F144/4</f>
        <v>353.06</v>
      </c>
    </row>
    <row r="145">
      <c r="A145" s="12" t="inlineStr">
        <is>
          <t xml:space="preserve">Student Loan (Dept of Education)</t>
        </is>
      </c>
      <c r="B145" s="3">
        <f>SUMIFS('All Transactions'!$F$5:$F$436,'All Transactions'!$D$5:$D$436,$A145,'All Transactions'!$A$5:$A$436,B$4)</f>
        <v>160.37</v>
      </c>
      <c r="C145" s="3">
        <f>SUMIFS('All Transactions'!$F$5:$F$436,'All Transactions'!$D$5:$D$436,$A145,'All Transactions'!$A$5:$A$436,C$4)</f>
        <v>160.37</v>
      </c>
      <c r="D145" s="3">
        <f>SUMIFS('All Transactions'!$F$5:$F$436,'All Transactions'!$D$5:$D$436,$A145,'All Transactions'!$A$5:$A$436,D$4)</f>
        <v>160.37</v>
      </c>
      <c r="E145" s="3">
        <f>SUMIFS('All Transactions'!$F$5:$F$436,'All Transactions'!$D$5:$D$436,$A145,'All Transactions'!$A$5:$A$436,E$4)</f>
        <v>160.37</v>
      </c>
      <c r="F145" s="3">
        <f>SUM(B145:E145)</f>
        <v>641.48</v>
      </c>
      <c r="G145" s="3">
        <f>F145/4</f>
        <v>160.37</v>
      </c>
    </row>
    <row r="146">
      <c r="A146" s="12" t="inlineStr">
        <is>
          <t xml:space="preserve">CVS Pharmacy</t>
        </is>
      </c>
      <c r="B146" s="3">
        <f>SUMIFS('All Transactions'!$F$5:$F$436,'All Transactions'!$D$5:$D$436,$A146,'All Transactions'!$A$5:$A$436,B$4)</f>
        <v>160.07</v>
      </c>
      <c r="C146" s="3">
        <f>SUMIFS('All Transactions'!$F$5:$F$436,'All Transactions'!$D$5:$D$436,$A146,'All Transactions'!$A$5:$A$436,C$4)</f>
        <v>100.93</v>
      </c>
      <c r="D146" s="3">
        <f>SUMIFS('All Transactions'!$F$5:$F$436,'All Transactions'!$D$5:$D$436,$A146,'All Transactions'!$A$5:$A$436,D$4)</f>
        <v>383.24</v>
      </c>
      <c r="E146" s="3">
        <f>SUMIFS('All Transactions'!$F$5:$F$436,'All Transactions'!$D$5:$D$436,$A146,'All Transactions'!$A$5:$A$436,E$4)</f>
        <v>0</v>
      </c>
      <c r="F146" s="3">
        <f>SUM(B146:E146)</f>
        <v>644.24</v>
      </c>
      <c r="G146" s="3">
        <f>F146/4</f>
        <v>161.06</v>
      </c>
    </row>
    <row r="147">
      <c r="A147" s="12" t="inlineStr">
        <is>
          <t xml:space="preserve">Utility – Electric (BEMC)</t>
        </is>
      </c>
      <c r="B147" s="3">
        <f>SUMIFS('All Transactions'!$F$5:$F$436,'All Transactions'!$D$5:$D$436,$A147,'All Transactions'!$A$5:$A$436,B$4)</f>
        <v>0</v>
      </c>
      <c r="C147" s="3">
        <f>SUMIFS('All Transactions'!$F$5:$F$436,'All Transactions'!$D$5:$D$436,$A147,'All Transactions'!$A$5:$A$436,C$4)</f>
        <v>336.35</v>
      </c>
      <c r="D147" s="3">
        <f>SUMIFS('All Transactions'!$F$5:$F$436,'All Transactions'!$D$5:$D$436,$A147,'All Transactions'!$A$5:$A$436,D$4)</f>
        <v>406.96</v>
      </c>
      <c r="E147" s="3">
        <f>SUMIFS('All Transactions'!$F$5:$F$436,'All Transactions'!$D$5:$D$436,$A147,'All Transactions'!$A$5:$A$436,E$4)</f>
        <v>419.66</v>
      </c>
      <c r="F147" s="3">
        <f>SUM(B147:E147)</f>
        <v>1162.97</v>
      </c>
      <c r="G147" s="3">
        <f>F147/4</f>
        <v>290.7425</v>
      </c>
    </row>
    <row r="148">
      <c r="A148" s="12" t="inlineStr">
        <is>
          <t xml:space="preserve">Utility – Water/Sewer (Brunswick County)</t>
        </is>
      </c>
      <c r="B148" s="3">
        <f>SUMIFS('All Transactions'!$F$5:$F$436,'All Transactions'!$D$5:$D$436,$A148,'All Transactions'!$A$5:$A$436,B$4)</f>
        <v>78.84</v>
      </c>
      <c r="C148" s="3">
        <f>SUMIFS('All Transactions'!$F$5:$F$436,'All Transactions'!$D$5:$D$436,$A148,'All Transactions'!$A$5:$A$436,C$4)</f>
        <v>0</v>
      </c>
      <c r="D148" s="3">
        <f>SUMIFS('All Transactions'!$F$5:$F$436,'All Transactions'!$D$5:$D$436,$A148,'All Transactions'!$A$5:$A$436,D$4)</f>
        <v>179.33</v>
      </c>
      <c r="E148" s="3">
        <f>SUMIFS('All Transactions'!$F$5:$F$436,'All Transactions'!$D$5:$D$436,$A148,'All Transactions'!$A$5:$A$436,E$4)</f>
        <v>84.26</v>
      </c>
      <c r="F148" s="3">
        <f>SUM(B148:E148)</f>
        <v>342.43</v>
      </c>
      <c r="G148" s="3">
        <f>F148/4</f>
        <v>85.6075</v>
      </c>
    </row>
    <row r="149">
      <c r="A149" s="12" t="inlineStr">
        <is>
          <t xml:space="preserve">Utilities total (BEMC + Brunswick County)</t>
        </is>
      </c>
      <c r="B149" s="3">
        <f>SUMIFS('All Transactions'!$F$5:$F$436,'All Transactions'!$E$5:$E$436,"Utilities",'All Transactions'!$A$5:$A$436,B$4)</f>
        <v>78.84</v>
      </c>
      <c r="C149" s="3">
        <f>SUMIFS('All Transactions'!$F$5:$F$436,'All Transactions'!$E$5:$E$436,"Utilities",'All Transactions'!$A$5:$A$436,C$4)</f>
        <v>336.35</v>
      </c>
      <c r="D149" s="3">
        <f>SUMIFS('All Transactions'!$F$5:$F$436,'All Transactions'!$E$5:$E$436,"Utilities",'All Transactions'!$A$5:$A$436,D$4)</f>
        <v>586.29</v>
      </c>
      <c r="E149" s="3">
        <f>SUMIFS('All Transactions'!$F$5:$F$436,'All Transactions'!$E$5:$E$436,"Utilities",'All Transactions'!$A$5:$A$436,E$4)</f>
        <v>503.92</v>
      </c>
      <c r="F149" s="3">
        <f>SUM(B149:E149)</f>
        <v>1505.4</v>
      </c>
      <c r="G149" s="3">
        <f>F149/4</f>
        <v>376.35</v>
      </c>
    </row>
    <row r="150">
      <c r="A150" s="12" t="inlineStr">
        <is>
          <t xml:space="preserve">Internet – Focus Broadband</t>
        </is>
      </c>
      <c r="B150" s="3">
        <f>SUMIFS('All Transactions'!$F$5:$F$436,'All Transactions'!$D$5:$D$436,$A150,'All Transactions'!$A$5:$A$436,B$4)</f>
        <v>80.79</v>
      </c>
      <c r="C150" s="3">
        <f>SUMIFS('All Transactions'!$F$5:$F$436,'All Transactions'!$D$5:$D$436,$A150,'All Transactions'!$A$5:$A$436,C$4)</f>
        <v>0</v>
      </c>
      <c r="D150" s="3">
        <f>SUMIFS('All Transactions'!$F$5:$F$436,'All Transactions'!$D$5:$D$436,$A150,'All Transactions'!$A$5:$A$436,D$4)</f>
        <v>161.58</v>
      </c>
      <c r="E150" s="3">
        <f>SUMIFS('All Transactions'!$F$5:$F$436,'All Transactions'!$D$5:$D$436,$A150,'All Transactions'!$A$5:$A$436,E$4)</f>
        <v>80.79</v>
      </c>
      <c r="F150" s="3">
        <f>SUM(B150:E150)</f>
        <v>323.16</v>
      </c>
      <c r="G150" s="3">
        <f>F150/4</f>
        <v>80.79</v>
      </c>
    </row>
    <row r="151">
      <c r="A151" s="12" t="inlineStr">
        <is>
          <t xml:space="preserve">Restaurants &amp; Takeout</t>
        </is>
      </c>
      <c r="B151" s="3">
        <f>SUMIFS('All Transactions'!$F$5:$F$436,'All Transactions'!$D$5:$D$436,$A151,'All Transactions'!$A$5:$A$436,B$4)</f>
        <v>1019.45</v>
      </c>
      <c r="C151" s="3">
        <f>SUMIFS('All Transactions'!$F$5:$F$436,'All Transactions'!$D$5:$D$436,$A151,'All Transactions'!$A$5:$A$436,C$4)</f>
        <v>909.94</v>
      </c>
      <c r="D151" s="3">
        <f>SUMIFS('All Transactions'!$F$5:$F$436,'All Transactions'!$D$5:$D$436,$A151,'All Transactions'!$A$5:$A$436,D$4)</f>
        <v>962.62</v>
      </c>
      <c r="E151" s="3">
        <f>SUMIFS('All Transactions'!$F$5:$F$436,'All Transactions'!$D$5:$D$436,$A151,'All Transactions'!$A$5:$A$436,E$4)</f>
        <v>839.3</v>
      </c>
      <c r="F151" s="3">
        <f>SUM(B151:E151)</f>
        <v>3731.31</v>
      </c>
      <c r="G151" s="3">
        <f>F151/4</f>
        <v>932.8275</v>
      </c>
    </row>
    <row r="152">
      <c r="A152" s="12" t="inlineStr">
        <is>
          <t xml:space="preserve">Gas &amp; Convenience Stores</t>
        </is>
      </c>
      <c r="B152" s="3">
        <f>SUMIFS('All Transactions'!$F$5:$F$436,'All Transactions'!$D$5:$D$436,$A152,'All Transactions'!$A$5:$A$436,B$4)</f>
        <v>108.9</v>
      </c>
      <c r="C152" s="3">
        <f>SUMIFS('All Transactions'!$F$5:$F$436,'All Transactions'!$D$5:$D$436,$A152,'All Transactions'!$A$5:$A$436,C$4)</f>
        <v>277.87</v>
      </c>
      <c r="D152" s="3">
        <f>SUMIFS('All Transactions'!$F$5:$F$436,'All Transactions'!$D$5:$D$436,$A152,'All Transactions'!$A$5:$A$436,D$4)</f>
        <v>167.24</v>
      </c>
      <c r="E152" s="3">
        <f>SUMIFS('All Transactions'!$F$5:$F$436,'All Transactions'!$D$5:$D$436,$A152,'All Transactions'!$A$5:$A$436,E$4)</f>
        <v>238.98</v>
      </c>
      <c r="F152" s="3">
        <f>SUM(B152:E152)</f>
        <v>792.99</v>
      </c>
      <c r="G152" s="3">
        <f>F152/4</f>
        <v>198.2475</v>
      </c>
    </row>
    <row r="153">
      <c r="A153" s="12" t="inlineStr">
        <is>
          <t xml:space="preserve">Groceries (Lowes Foods + Publix + Food Lion)</t>
        </is>
      </c>
      <c r="B153" s="3">
        <f>SUMIFS('All Transactions'!$F$5:$F$436,'All Transactions'!$E$5:$E$436,"Groceries",'All Transactions'!$A$5:$A$436,B$4)</f>
        <v>1266.4</v>
      </c>
      <c r="C153" s="3">
        <f>SUMIFS('All Transactions'!$F$5:$F$436,'All Transactions'!$E$5:$E$436,"Groceries",'All Transactions'!$A$5:$A$436,C$4)</f>
        <v>1279.24</v>
      </c>
      <c r="D153" s="3">
        <f>SUMIFS('All Transactions'!$F$5:$F$436,'All Transactions'!$E$5:$E$436,"Groceries",'All Transactions'!$A$5:$A$436,D$4)</f>
        <v>1184.27</v>
      </c>
      <c r="E153" s="3">
        <f>SUMIFS('All Transactions'!$F$5:$F$436,'All Transactions'!$E$5:$E$436,"Groceries",'All Transactions'!$A$5:$A$436,E$4)</f>
        <v>1202.5</v>
      </c>
      <c r="F153" s="3">
        <f>SUM(B153:E153)</f>
        <v>4932.41</v>
      </c>
      <c r="G153" s="3">
        <f>F153/4</f>
        <v>1233.1025</v>
      </c>
    </row>
    <row r="154">
      <c r="A154" s="12" t="inlineStr">
        <is>
          <t xml:space="preserve">Haircuts – The Color Bar</t>
        </is>
      </c>
      <c r="B154" s="3">
        <f>SUMIFS('All Transactions'!$F$5:$F$436,'All Transactions'!$D$5:$D$436,$A154,'All Transactions'!$A$5:$A$436,B$4)</f>
        <v>182.5</v>
      </c>
      <c r="C154" s="3">
        <f>SUMIFS('All Transactions'!$F$5:$F$436,'All Transactions'!$D$5:$D$436,$A154,'All Transactions'!$A$5:$A$436,C$4)</f>
        <v>0</v>
      </c>
      <c r="D154" s="3">
        <f>SUMIFS('All Transactions'!$F$5:$F$436,'All Transactions'!$D$5:$D$436,$A154,'All Transactions'!$A$5:$A$436,D$4)</f>
        <v>182.5</v>
      </c>
      <c r="E154" s="3">
        <f>SUMIFS('All Transactions'!$F$5:$F$436,'All Transactions'!$D$5:$D$436,$A154,'All Transactions'!$A$5:$A$436,E$4)</f>
        <v>32.5</v>
      </c>
      <c r="F154" s="3">
        <f>SUM(B154:E154)</f>
        <v>397.5</v>
      </c>
      <c r="G154" s="3">
        <f>F154/4</f>
        <v>99.375</v>
      </c>
    </row>
    <row r="155">
      <c r="A155" s="12" t="inlineStr">
        <is>
          <t xml:space="preserve">Retail (all retailers)</t>
        </is>
      </c>
      <c r="B155" s="3">
        <f>SUMIFS('All Transactions'!$F$5:$F$436,'All Transactions'!$E$5:$E$436,"Retail",'All Transactions'!$A$5:$A$436,B$4)</f>
        <v>815.42</v>
      </c>
      <c r="C155" s="3">
        <f>SUMIFS('All Transactions'!$F$5:$F$436,'All Transactions'!$E$5:$E$436,"Retail",'All Transactions'!$A$5:$A$436,C$4)</f>
        <v>1150.18</v>
      </c>
      <c r="D155" s="3">
        <f>SUMIFS('All Transactions'!$F$5:$F$436,'All Transactions'!$E$5:$E$436,"Retail",'All Transactions'!$A$5:$A$436,D$4)</f>
        <v>2380.47</v>
      </c>
      <c r="E155" s="3">
        <f>SUMIFS('All Transactions'!$F$5:$F$436,'All Transactions'!$E$5:$E$436,"Retail",'All Transactions'!$A$5:$A$436,E$4)</f>
        <v>357.62</v>
      </c>
      <c r="F155" s="3">
        <f>SUM(B155:E155)</f>
        <v>4703.69</v>
      </c>
      <c r="G155" s="3">
        <f>F155/4</f>
        <v>1175.9225</v>
      </c>
    </row>
    <row r="156">
      <c r="A156" s="12" t="inlineStr">
        <is>
          <t xml:space="preserve">Streaming (all services)</t>
        </is>
      </c>
      <c r="B156" s="3">
        <f>SUMIFS('All Transactions'!$F$5:$F$436,'All Transactions'!$E$5:$E$436,"Streaming",'All Transactions'!$A$5:$A$436,B$4)</f>
        <v>188.8</v>
      </c>
      <c r="C156" s="3">
        <f>SUMIFS('All Transactions'!$F$5:$F$436,'All Transactions'!$E$5:$E$436,"Streaming",'All Transactions'!$A$5:$A$436,C$4)</f>
        <v>201.6</v>
      </c>
      <c r="D156" s="3">
        <f>SUMIFS('All Transactions'!$F$5:$F$436,'All Transactions'!$E$5:$E$436,"Streaming",'All Transactions'!$A$5:$A$436,D$4)</f>
        <v>158.35</v>
      </c>
      <c r="E156" s="3">
        <f>SUMIFS('All Transactions'!$F$5:$F$436,'All Transactions'!$E$5:$E$436,"Streaming",'All Transactions'!$A$5:$A$436,E$4)</f>
        <v>188.98</v>
      </c>
      <c r="F156" s="3">
        <f>SUM(B156:E156)</f>
        <v>737.73</v>
      </c>
      <c r="G156" s="3">
        <f>F156/4</f>
        <v>184.4325</v>
      </c>
    </row>
    <row r="158">
      <c r="A158" s="5" t="inlineStr">
        <is>
          <t xml:space="preserve">Notes &amp; assumptions</t>
        </is>
      </c>
    </row>
    <row r="159" ht="27" customHeight="1">
      <c r="A159" s="11" t="inlineStr">
        <is>
          <t xml:space="preserve">• "Month" = the bank statement period (June stmt 5/27–6/24, July 6/25–7/23, Aug 7/24–8/25, Sept 8/26–9/24), not the calendar month.</t>
        </is>
      </c>
    </row>
    <row r="160" ht="27" customHeight="1">
      <c r="A160" s="11" t="inlineStr">
        <is>
          <t xml:space="preserve">• Statement totals in blue are typed from each statement's "Withdrawals/Subtractions" line; the Difference row proves every withdrawal is accounted for. "Autobks*Nextgen" = the yard company (Home group).</t>
        </is>
      </c>
    </row>
    <row r="161" ht="27" customHeight="1">
      <c r="A161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62" ht="27" customHeight="1">
      <c r="A162" s="11" t="inlineStr">
        <is>
          <t xml:space="preserve">• Not counted as spending (per your instructions): WTW health premium ($2,576/mo, reimbursed by Via Benefits), American Express credit card payoffs, Sloane Realty, Dust and Mop House, checks #101/102/103/518/520, and a $3.26 transfer to your own Wells Fargo account. They are listed in their own section so the sheet still ties to the bank statement.</t>
        </is>
      </c>
    </row>
    <row r="163" ht="27" customHeight="1">
      <c r="A163" s="11" t="inlineStr">
        <is>
          <t xml:space="preserve">• Utilities = BEMC (Brunswick Electric Membership Corp, electric) and Brunswick County Utilities (water/sewer, incl. $2.95 online-payment fee). Verizon Wireless and Focus Broadband (internet) are in Phone &amp; Internet.</t>
        </is>
      </c>
    </row>
    <row r="164" ht="27" customHeight="1">
      <c r="A164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65" ht="27" customHeight="1">
      <c r="A165" s="11" t="inlineStr">
        <is>
          <t xml:space="preserve">• Streaming: one line per service. No Netflix charges appear on these statements (it may be billed to a credit card). The Sept 13 Google YouTube TV charge ($43.43) is an extra charge on top of the regular $89. Apple.com/Bill charges are in Software &amp; Online Subscriptions because the statement does not say which Apple service they are for. Retail: one line per retailer. Belk appears only as Belk store-card payments (the store purchases themselves are on the card). Walmart may include some groceries. Gas &amp; Convenience includes everything bought at gas stations (fuel and snacks can't be separated). Granville Medical and Duke charges are small hospital food/parking charges, listed under Health.</t>
        </is>
      </c>
    </row>
  </sheetData>
  <mergeCells count="7">
    <mergeCell ref="A159:G159"/>
    <mergeCell ref="A160:G160"/>
    <mergeCell ref="A161:G161"/>
    <mergeCell ref="A162:G162"/>
    <mergeCell ref="A163:G163"/>
    <mergeCell ref="A164:G164"/>
    <mergeCell ref="A165:G165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St. James Membership (Club)</t>
        </is>
      </c>
      <c r="H5" s="3">
        <f>SUMIF($C$4:$C$119,G5,$E$4:$E$119)</f>
        <v>1591.78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Grocery – Lowes Foods</t>
        </is>
      </c>
      <c r="H6" s="3">
        <f>SUMIF($C$4:$C$119,G6,$E$4:$E$119)</f>
        <v>1145.69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Restaurants &amp; Takeout</t>
        </is>
      </c>
      <c r="H7" s="3">
        <f>SUMIF($C$4:$C$119,G7,$E$4:$E$119)</f>
        <v>1019.45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Retail – Belk (store card payments)</t>
        </is>
      </c>
      <c r="D8" s="2" t="inlineStr">
        <is>
          <t xml:space="preserve">Retail</t>
        </is>
      </c>
      <c r="E8" s="3">
        <v>386.69</v>
      </c>
      <c r="G8" s="2" t="inlineStr">
        <is>
          <t xml:space="preserve">Banner Life Insurance</t>
        </is>
      </c>
      <c r="H8" s="3">
        <f>SUMIF($C$4:$C$119,G8,$E$4:$E$119)</f>
        <v>710.06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St. James Plantation POA Dues</t>
        </is>
      </c>
      <c r="H9" s="3">
        <f>SUMIF($C$4:$C$119,G9,$E$4:$E$119)</f>
        <v>692.95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– YouTube TV (Google)</t>
        </is>
      </c>
      <c r="D10" s="2" t="inlineStr">
        <is>
          <t xml:space="preserve">Streaming</t>
        </is>
      </c>
      <c r="E10" s="3">
        <v>11.78</v>
      </c>
      <c r="G10" s="2" t="inlineStr">
        <is>
          <t xml:space="preserve">Retail – Belk (store card payments)</t>
        </is>
      </c>
      <c r="H10" s="3">
        <f>SUMIF($C$4:$C$119,G10,$E$4:$E$119)</f>
        <v>386.69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– Disney (via Roku)</t>
        </is>
      </c>
      <c r="D11" s="2" t="inlineStr">
        <is>
          <t xml:space="preserve">Streaming</t>
        </is>
      </c>
      <c r="E11" s="3">
        <v>20.27</v>
      </c>
      <c r="G11" s="2" t="inlineStr">
        <is>
          <t xml:space="preserve">Allstate Insurance</t>
        </is>
      </c>
      <c r="H11" s="3">
        <f>SUMIF($C$4:$C$119,G11,$E$4:$E$119)</f>
        <v>360.42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Grocery – Lowes Foods</t>
        </is>
      </c>
      <c r="D12" s="2" t="inlineStr">
        <is>
          <t xml:space="preserve">Groceries</t>
        </is>
      </c>
      <c r="E12" s="3">
        <v>125.08</v>
      </c>
      <c r="G12" s="2" t="inlineStr">
        <is>
          <t xml:space="preserve">Verizon Wireless</t>
        </is>
      </c>
      <c r="H12" s="3">
        <f>SUMIF($C$4:$C$119,G12,$E$4:$E$119)</f>
        <v>294.57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Other Food Stores (Harris Teeter, Beach Pantry)</t>
        </is>
      </c>
      <c r="H13" s="3">
        <f>SUMIF($C$4:$C$119,G13,$E$4:$E$119)</f>
        <v>263.35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Health Insurance – Blue Cross NC</t>
        </is>
      </c>
      <c r="H14" s="3">
        <f>SUMIF($C$4:$C$119,G14,$E$4:$E$119)</f>
        <v>216.25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Retail – Local shops (Hippie Chick, Southport Spices, Mad River, Coastal Carolina)</t>
        </is>
      </c>
      <c r="D15" s="2" t="inlineStr">
        <is>
          <t xml:space="preserve">Retail</t>
        </is>
      </c>
      <c r="E15" s="3">
        <v>41.63</v>
      </c>
      <c r="G15" s="2" t="inlineStr">
        <is>
          <t xml:space="preserve">Haircuts – The Color Bar</t>
        </is>
      </c>
      <c r="H15" s="3">
        <f>SUMIF($C$4:$C$119,G15,$E$4:$E$119)</f>
        <v>182.5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Student Loan (Dept of Education)</t>
        </is>
      </c>
      <c r="H16" s="3">
        <f>SUMIF($C$4:$C$119,G16,$E$4:$E$119)</f>
        <v>160.37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CVS Pharmacy</t>
        </is>
      </c>
      <c r="H17" s="3">
        <f>SUMIF($C$4:$C$119,G17,$E$4:$E$119)</f>
        <v>160.07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Retail – Bath &amp; Body Works</t>
        </is>
      </c>
      <c r="D18" s="2" t="inlineStr">
        <is>
          <t xml:space="preserve">Retail</t>
        </is>
      </c>
      <c r="E18" s="3">
        <v>51.31</v>
      </c>
      <c r="G18" s="2" t="inlineStr">
        <is>
          <t xml:space="preserve">Software &amp; Online Subscriptions</t>
        </is>
      </c>
      <c r="H18" s="3">
        <f>SUMIF($C$4:$C$119,G18,$E$4:$E$119)</f>
        <v>141.73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Retail – Ulta Beauty</t>
        </is>
      </c>
      <c r="D19" s="2" t="inlineStr">
        <is>
          <t xml:space="preserve">Retail</t>
        </is>
      </c>
      <c r="E19" s="3">
        <v>97.35</v>
      </c>
      <c r="G19" s="2" t="inlineStr">
        <is>
          <t xml:space="preserve">Retail – Ulta Beauty</t>
        </is>
      </c>
      <c r="H19" s="3">
        <f>SUMIF($C$4:$C$119,G19,$E$4:$E$119)</f>
        <v>134.71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Grocery – Publix</t>
        </is>
      </c>
      <c r="H20" s="3">
        <f>SUMIF($C$4:$C$119,G20,$E$4:$E$119)</f>
        <v>120.71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Grocery – Lowes Foods</t>
        </is>
      </c>
      <c r="D21" s="2" t="inlineStr">
        <is>
          <t xml:space="preserve">Groceries</t>
        </is>
      </c>
      <c r="E21" s="3">
        <v>37.15</v>
      </c>
      <c r="G21" s="2" t="inlineStr">
        <is>
          <t xml:space="preserve">Gas &amp; Convenience Stores</t>
        </is>
      </c>
      <c r="H21" s="3">
        <f>SUMIF($C$4:$C$119,G21,$E$4:$E$119)</f>
        <v>108.9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Excluded</t>
        </is>
      </c>
      <c r="E22" s="3">
        <v>1800.0</v>
      </c>
      <c r="G22" s="2" t="inlineStr">
        <is>
          <t xml:space="preserve">Retail – Local shops (Hippie Chick, Southport Spices, Mad River, Coastal Carolina)</t>
        </is>
      </c>
      <c r="H22" s="3">
        <f>SUMIF($C$4:$C$119,G22,$E$4:$E$119)</f>
        <v>108.03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Travel (Lyft, Hotel)</t>
        </is>
      </c>
      <c r="H23" s="3">
        <f>SUMIF($C$4:$C$119,G23,$E$4:$E$119)</f>
        <v>102.65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Streaming – YouTube TV (Google)</t>
        </is>
      </c>
      <c r="H24" s="3">
        <f>SUMIF($C$4:$C$119,G24,$E$4:$E$119)</f>
        <v>100.78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Internet – Focus Broadband</t>
        </is>
      </c>
      <c r="H25" s="3">
        <f>SUMIF($C$4:$C$119,G25,$E$4:$E$119)</f>
        <v>80.79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Life Insurance (Lincoln National)</t>
        </is>
      </c>
      <c r="H26" s="3">
        <f>SUMIF($C$4:$C$119,G26,$E$4:$E$119)</f>
        <v>79.21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Utility – Water/Sewer (Brunswick County)</t>
        </is>
      </c>
      <c r="H27" s="3">
        <f>SUMIF($C$4:$C$119,G27,$E$4:$E$119)</f>
        <v>78.84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Transfers to People (Venmo/Zelle)</t>
        </is>
      </c>
      <c r="H28" s="3">
        <f>SUMIF($C$4:$C$119,G28,$E$4:$E$119)</f>
        <v>75.0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2" t="inlineStr">
        <is>
          <t xml:space="preserve">Dental Insurance – Delta Dental</t>
        </is>
      </c>
      <c r="H29" s="3">
        <f>SUMIF($C$4:$C$119,G29,$E$4:$E$119)</f>
        <v>69.36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Grocery – Lowes Foods</t>
        </is>
      </c>
      <c r="D30" s="2" t="inlineStr">
        <is>
          <t xml:space="preserve">Groceries</t>
        </is>
      </c>
      <c r="E30" s="3">
        <v>225.23</v>
      </c>
      <c r="G30" s="2" t="inlineStr">
        <is>
          <t xml:space="preserve">Yard Company (NextGen)</t>
        </is>
      </c>
      <c r="H30" s="3">
        <f>SUMIF($C$4:$C$119,G30,$E$4:$E$119)</f>
        <v>60.0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2" t="inlineStr">
        <is>
          <t xml:space="preserve">Retail – Target</t>
        </is>
      </c>
      <c r="H31" s="3">
        <f>SUMIF($C$4:$C$119,G31,$E$4:$E$119)</f>
        <v>58.98</v>
      </c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– Frndly TV</t>
        </is>
      </c>
      <c r="D32" s="2" t="inlineStr">
        <is>
          <t xml:space="preserve">Streaming</t>
        </is>
      </c>
      <c r="E32" s="3">
        <v>22.41</v>
      </c>
      <c r="G32" s="2" t="inlineStr">
        <is>
          <t xml:space="preserve">Retail – Bath &amp; Body Works</t>
        </is>
      </c>
      <c r="H32" s="3">
        <f>SUMIF($C$4:$C$119,G32,$E$4:$E$119)</f>
        <v>51.31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Haircuts – The Color Bar</t>
        </is>
      </c>
      <c r="D33" s="2" t="inlineStr">
        <is>
          <t xml:space="preserve">Personal</t>
        </is>
      </c>
      <c r="E33" s="3">
        <v>150.0</v>
      </c>
      <c r="G33" s="2" t="inlineStr">
        <is>
          <t xml:space="preserve">Retail – Ross</t>
        </is>
      </c>
      <c r="H33" s="3">
        <f>SUMIF($C$4:$C$119,G33,$E$4:$E$119)</f>
        <v>48.03</v>
      </c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  <c r="G34" s="2" t="inlineStr">
        <is>
          <t xml:space="preserve">Retail – Lowe's (home improvement)</t>
        </is>
      </c>
      <c r="H34" s="3">
        <f>SUMIF($C$4:$C$119,G34,$E$4:$E$119)</f>
        <v>27.67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Excluded</t>
        </is>
      </c>
      <c r="E35" s="3">
        <v>830.0</v>
      </c>
      <c r="G35" s="2" t="inlineStr">
        <is>
          <t xml:space="preserve">Streaming – Frndly TV</t>
        </is>
      </c>
      <c r="H35" s="3">
        <f>SUMIF($C$4:$C$119,G35,$E$4:$E$119)</f>
        <v>22.41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  <c r="G36" s="2" t="inlineStr">
        <is>
          <t xml:space="preserve">Streaming – Disney (via Roku)</t>
        </is>
      </c>
      <c r="H36" s="3">
        <f>SUMIF($C$4:$C$119,G36,$E$4:$E$119)</f>
        <v>20.27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  <c r="G37" s="2" t="inlineStr">
        <is>
          <t xml:space="preserve">Streaming – HBO Max</t>
        </is>
      </c>
      <c r="H37" s="3">
        <f>SUMIF($C$4:$C$119,G37,$E$4:$E$119)</f>
        <v>19.74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Retail – Lowe's (home improvement)</t>
        </is>
      </c>
      <c r="D38" s="2" t="inlineStr">
        <is>
          <t xml:space="preserve">Retail</t>
        </is>
      </c>
      <c r="E38" s="3">
        <v>27.67</v>
      </c>
      <c r="G38" s="2" t="inlineStr">
        <is>
          <t xml:space="preserve">Streaming – ESPN (Sept billed as Disney Plus)</t>
        </is>
      </c>
      <c r="H38" s="3">
        <f>SUMIF($C$4:$C$119,G38,$E$4:$E$119)</f>
        <v>13.87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WTW Health Premium (reimbursed by Via Benefits)</t>
        </is>
      </c>
      <c r="D39" s="2" t="inlineStr">
        <is>
          <t xml:space="preserve">Excluded</t>
        </is>
      </c>
      <c r="E39" s="3">
        <v>2576.0</v>
      </c>
      <c r="G39" s="2" t="inlineStr">
        <is>
          <t xml:space="preserve">Streaming – Peacock (via Roku)</t>
        </is>
      </c>
      <c r="H39" s="3">
        <f>SUMIF($C$4:$C$119,G39,$E$4:$E$119)</f>
        <v>11.73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  <c r="G40" s="2" t="inlineStr">
        <is>
          <t xml:space="preserve">Tolls &amp; Parking</t>
        </is>
      </c>
      <c r="H40" s="3">
        <f>SUMIF($C$4:$C$119,G40,$E$4:$E$119)</f>
        <v>5.84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  <c r="G41" s="8" t="inlineStr">
        <is>
          <t xml:space="preserve">Total spending</t>
        </is>
      </c>
      <c r="H41" s="9">
        <f>SUM(H4:H40)</f>
        <v>12135.81</v>
      </c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  <c r="G43" s="7" t="inlineStr">
        <is>
          <t xml:space="preserve">Not counted as spending</t>
        </is>
      </c>
      <c r="H43" s="7"/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  <c r="G44" s="2" t="inlineStr">
        <is>
          <t xml:space="preserve">Checks Written (payee not shown)</t>
        </is>
      </c>
      <c r="H44" s="3">
        <f>SUMIF($C$4:$C$119,G44,$E$4:$E$119)</f>
        <v>2630.0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SUMIF($C$4:$C$119,G45,$E$4:$E$119)</f>
        <v>2576.0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Retail – Ross</t>
        </is>
      </c>
      <c r="D51" s="2" t="inlineStr">
        <is>
          <t xml:space="preserve">Retail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Retail – Ulta Beauty</t>
        </is>
      </c>
      <c r="D52" s="2" t="inlineStr">
        <is>
          <t xml:space="preserve">Retail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Grocery – Lowes Foods</t>
        </is>
      </c>
      <c r="D57" s="2" t="inlineStr">
        <is>
          <t xml:space="preserve">Groceries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Grocery – Lowes Foods</t>
        </is>
      </c>
      <c r="D64" s="2" t="inlineStr">
        <is>
          <t xml:space="preserve">Groceries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– ESPN (Sept billed as Disney Plus)</t>
        </is>
      </c>
      <c r="D65" s="2" t="inlineStr">
        <is>
          <t xml:space="preserve">Streaming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Student Loan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Grocery – Publix</t>
        </is>
      </c>
      <c r="D74" s="2" t="inlineStr">
        <is>
          <t xml:space="preserve">Groceries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Other Food Stores (Harris Teeter, Beach Pantry)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Other Food Stores (Harris Teeter, Beach Pantry)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Retail – Local shops (Hippie Chick, Southport Spices, Mad River, Coastal Carolina)</t>
        </is>
      </c>
      <c r="D82" s="2" t="inlineStr">
        <is>
          <t xml:space="preserve">Retail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Retail – Local shops (Hippie Chick, Southport Spices, Mad River, Coastal Carolina)</t>
        </is>
      </c>
      <c r="D83" s="2" t="inlineStr">
        <is>
          <t xml:space="preserve">Retail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Grocery – Lowes Foods</t>
        </is>
      </c>
      <c r="D84" s="2" t="inlineStr">
        <is>
          <t xml:space="preserve">Groceries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Retail – Target</t>
        </is>
      </c>
      <c r="D85" s="2" t="inlineStr">
        <is>
          <t xml:space="preserve">Retail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– Peacock (via Roku)</t>
        </is>
      </c>
      <c r="D110" s="2" t="inlineStr">
        <is>
          <t xml:space="preserve">Streaming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CVS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– HBO Max</t>
        </is>
      </c>
      <c r="D112" s="2" t="inlineStr">
        <is>
          <t xml:space="preserve">Streaming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CVS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Grocery – Lowes Foods</t>
        </is>
      </c>
      <c r="D114" s="2" t="inlineStr">
        <is>
          <t xml:space="preserve">Groceries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Phone &amp; Internet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Yard Company (NextGen)</t>
        </is>
      </c>
      <c r="D118" s="2" t="inlineStr">
        <is>
          <t xml:space="preserve">Home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Haircuts – The Color Bar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spending</t>
        </is>
      </c>
      <c r="E120" s="9">
        <f>SUMIF(D4:D119,"&lt;&gt;Excluded",E4:E119)</f>
        <v>12135.81</v>
      </c>
    </row>
    <row r="121">
      <c r="D121" s="7" t="inlineStr">
        <is>
          <t xml:space="preserve">Not counted (Excluded)</t>
        </is>
      </c>
      <c r="E121" s="6">
        <f>SUMIF(D4:D119,"Excluded",E4:E119)</f>
        <v>5206.0</v>
      </c>
    </row>
  </sheetData>
  <autoFilter ref="A3:E119"/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A&amp;D Mortgage</t>
        </is>
      </c>
      <c r="H4" s="3">
        <f>SUMIF($C$4:$C$127,G4,$E$4:$E$127)</f>
        <v>3411.1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St. James Membership (Club)</t>
        </is>
      </c>
      <c r="H5" s="3">
        <f>SUMIF($C$4:$C$127,G5,$E$4:$E$127)</f>
        <v>1601.56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Retail – Belk (store card payments)</t>
        </is>
      </c>
      <c r="H6" s="3">
        <f>SUMIF($C$4:$C$127,G6,$E$4:$E$127)</f>
        <v>948.04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Restaurants &amp; Takeout</t>
        </is>
      </c>
      <c r="H7" s="3">
        <f>SUMIF($C$4:$C$127,G7,$E$4:$E$127)</f>
        <v>909.94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– Hulu</t>
        </is>
      </c>
      <c r="D8" s="2" t="inlineStr">
        <is>
          <t xml:space="preserve">Streaming</t>
        </is>
      </c>
      <c r="E8" s="3">
        <v>12.8</v>
      </c>
      <c r="G8" s="2" t="inlineStr">
        <is>
          <t xml:space="preserve">Transfers to People (Venmo/Zelle)</t>
        </is>
      </c>
      <c r="H8" s="3">
        <f>SUMIF($C$4:$C$127,G8,$E$4:$E$127)</f>
        <v>764.05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Banner Life Insurance</t>
        </is>
      </c>
      <c r="H9" s="3">
        <f>SUMIF($C$4:$C$127,G9,$E$4:$E$127)</f>
        <v>710.06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Grocery – Lowes Foods</t>
        </is>
      </c>
      <c r="D10" s="2" t="inlineStr">
        <is>
          <t xml:space="preserve">Groceries</t>
        </is>
      </c>
      <c r="E10" s="3">
        <v>2.14</v>
      </c>
      <c r="G10" s="2" t="inlineStr">
        <is>
          <t xml:space="preserve">Grocery – Lowes Foods</t>
        </is>
      </c>
      <c r="H10" s="3">
        <f>SUMIF($C$4:$C$127,G10,$E$4:$E$127)</f>
        <v>611.14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Entertainment &amp; Events</t>
        </is>
      </c>
      <c r="H11" s="3">
        <f>SUMIF($C$4:$C$127,G11,$E$4:$E$127)</f>
        <v>400.0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Allstate Insurance</t>
        </is>
      </c>
      <c r="H12" s="3">
        <f>SUMIF($C$4:$C$127,G12,$E$4:$E$127)</f>
        <v>360.42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Grocery – Food Lion</t>
        </is>
      </c>
      <c r="H13" s="3">
        <f>SUMIF($C$4:$C$127,G13,$E$4:$E$127)</f>
        <v>336.67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Utility – Electric (BEMC)</t>
        </is>
      </c>
      <c r="H14" s="3">
        <f>SUMIF($C$4:$C$127,G14,$E$4:$E$127)</f>
        <v>336.35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Own WF Account</t>
        </is>
      </c>
      <c r="D15" s="2" t="inlineStr">
        <is>
          <t xml:space="preserve">Excluded</t>
        </is>
      </c>
      <c r="E15" s="3">
        <v>3.26</v>
      </c>
      <c r="G15" s="2" t="inlineStr">
        <is>
          <t xml:space="preserve">Grocery – Publix</t>
        </is>
      </c>
      <c r="H15" s="3">
        <f>SUMIF($C$4:$C$127,G15,$E$4:$E$127)</f>
        <v>331.43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Payoff – American Express</t>
        </is>
      </c>
      <c r="D16" s="2" t="inlineStr">
        <is>
          <t xml:space="preserve">Excluded</t>
        </is>
      </c>
      <c r="E16" s="3">
        <v>226.19</v>
      </c>
      <c r="G16" s="2" t="inlineStr">
        <is>
          <t xml:space="preserve">Verizon Wireless</t>
        </is>
      </c>
      <c r="H16" s="3">
        <f>SUMIF($C$4:$C$127,G16,$E$4:$E$127)</f>
        <v>294.8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Payoff – American Express</t>
        </is>
      </c>
      <c r="D17" s="2" t="inlineStr">
        <is>
          <t xml:space="preserve">Excluded</t>
        </is>
      </c>
      <c r="E17" s="3">
        <v>4000.9</v>
      </c>
      <c r="G17" s="2" t="inlineStr">
        <is>
          <t xml:space="preserve">Gas &amp; Convenience Stores</t>
        </is>
      </c>
      <c r="H17" s="3">
        <f>SUMIF($C$4:$C$127,G17,$E$4:$E$127)</f>
        <v>277.87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Software &amp; Online Subscriptions</t>
        </is>
      </c>
      <c r="H18" s="3">
        <f>SUMIF($C$4:$C$127,G18,$E$4:$E$127)</f>
        <v>161.05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Student Loan (Dept of Education)</t>
        </is>
      </c>
      <c r="H19" s="3">
        <f>SUMIF($C$4:$C$127,G19,$E$4:$E$127)</f>
        <v>160.37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Home Services (Pest Control, Lawn Treatment)</t>
        </is>
      </c>
      <c r="H20" s="3">
        <f>SUMIF($C$4:$C$127,G20,$E$4:$E$127)</f>
        <v>142.05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Retail – Walmart</t>
        </is>
      </c>
      <c r="H21" s="3">
        <f>SUMIF($C$4:$C$127,G21,$E$4:$E$127)</f>
        <v>132.66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CVS Pharmacy</t>
        </is>
      </c>
      <c r="H22" s="3">
        <f>SUMIF($C$4:$C$127,G22,$E$4:$E$127)</f>
        <v>100.93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Grocery – Lowes Foods</t>
        </is>
      </c>
      <c r="D23" s="2" t="inlineStr">
        <is>
          <t xml:space="preserve">Groceries</t>
        </is>
      </c>
      <c r="E23" s="3">
        <v>41.57</v>
      </c>
      <c r="G23" s="2" t="inlineStr">
        <is>
          <t xml:space="preserve">Streaming – YouTube TV (Google)</t>
        </is>
      </c>
      <c r="H23" s="3">
        <f>SUMIF($C$4:$C$127,G23,$E$4:$E$127)</f>
        <v>100.78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Yard Company (NextGen)</t>
        </is>
      </c>
      <c r="H24" s="3">
        <f>SUMIF($C$4:$C$127,G24,$E$4:$E$127)</f>
        <v>100.0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Grocery – Publix</t>
        </is>
      </c>
      <c r="D25" s="2" t="inlineStr">
        <is>
          <t xml:space="preserve">Groceries</t>
        </is>
      </c>
      <c r="E25" s="3">
        <v>93.02</v>
      </c>
      <c r="G25" s="2" t="inlineStr">
        <is>
          <t xml:space="preserve">Life Insurance (Lincoln National)</t>
        </is>
      </c>
      <c r="H25" s="3">
        <f>SUMIF($C$4:$C$127,G25,$E$4:$E$127)</f>
        <v>73.61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– YouTube TV (Google)</t>
        </is>
      </c>
      <c r="D26" s="2" t="inlineStr">
        <is>
          <t xml:space="preserve">Streaming</t>
        </is>
      </c>
      <c r="E26" s="3">
        <v>89.0</v>
      </c>
      <c r="G26" s="2" t="inlineStr">
        <is>
          <t xml:space="preserve">Dental Insurance – Delta Dental</t>
        </is>
      </c>
      <c r="H26" s="3">
        <f>SUMIF($C$4:$C$127,G26,$E$4:$E$127)</f>
        <v>69.36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– YouTube TV (Google)</t>
        </is>
      </c>
      <c r="D27" s="2" t="inlineStr">
        <is>
          <t xml:space="preserve">Streaming</t>
        </is>
      </c>
      <c r="E27" s="3">
        <v>11.78</v>
      </c>
      <c r="G27" s="2" t="inlineStr">
        <is>
          <t xml:space="preserve">Retail – Dick's Sporting Goods</t>
        </is>
      </c>
      <c r="H27" s="3">
        <f>SUMIF($C$4:$C$127,G27,$E$4:$E$127)</f>
        <v>63.61</v>
      </c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– Disney (via Roku)</t>
        </is>
      </c>
      <c r="D28" s="2" t="inlineStr">
        <is>
          <t xml:space="preserve">Streaming</t>
        </is>
      </c>
      <c r="E28" s="3">
        <v>20.27</v>
      </c>
      <c r="G28" s="2" t="inlineStr">
        <is>
          <t xml:space="preserve">St. James Marina</t>
        </is>
      </c>
      <c r="H28" s="3">
        <f>SUMIF($C$4:$C$127,G28,$E$4:$E$127)</f>
        <v>33.54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  <c r="G29" s="2" t="inlineStr">
        <is>
          <t xml:space="preserve">Medical – Granville Medical Center (Oxford)</t>
        </is>
      </c>
      <c r="H29" s="3">
        <f>SUMIF($C$4:$C$127,G29,$E$4:$E$127)</f>
        <v>25.16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Retail – Walmart</t>
        </is>
      </c>
      <c r="D30" s="2" t="inlineStr">
        <is>
          <t xml:space="preserve">Retail</t>
        </is>
      </c>
      <c r="E30" s="3">
        <v>57.43</v>
      </c>
      <c r="G30" s="2" t="inlineStr">
        <is>
          <t xml:space="preserve">Streaming – Frndly TV</t>
        </is>
      </c>
      <c r="H30" s="3">
        <f>SUMIF($C$4:$C$127,G30,$E$4:$E$127)</f>
        <v>22.41</v>
      </c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CVS Pharmacy</t>
        </is>
      </c>
      <c r="D31" s="2" t="inlineStr">
        <is>
          <t xml:space="preserve">Health</t>
        </is>
      </c>
      <c r="E31" s="3">
        <v>14.99</v>
      </c>
      <c r="G31" s="2" t="inlineStr">
        <is>
          <t xml:space="preserve">Streaming – Disney (via Roku)</t>
        </is>
      </c>
      <c r="H31" s="3">
        <f>SUMIF($C$4:$C$127,G31,$E$4:$E$127)</f>
        <v>20.27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Retail – Walmart</t>
        </is>
      </c>
      <c r="D32" s="2" t="inlineStr">
        <is>
          <t xml:space="preserve">Retail</t>
        </is>
      </c>
      <c r="E32" s="3">
        <v>19.06</v>
      </c>
      <c r="G32" s="2" t="inlineStr">
        <is>
          <t xml:space="preserve">Streaming – HBO Max</t>
        </is>
      </c>
      <c r="H32" s="3">
        <f>SUMIF($C$4:$C$127,G32,$E$4:$E$127)</f>
        <v>19.74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Medical – Granville Medical Center (Oxford)</t>
        </is>
      </c>
      <c r="D33" s="2" t="inlineStr">
        <is>
          <t xml:space="preserve">Health</t>
        </is>
      </c>
      <c r="E33" s="3">
        <v>10.1</v>
      </c>
      <c r="G33" s="2" t="inlineStr">
        <is>
          <t xml:space="preserve">Streaming – ESPN (Sept billed as Disney Plus)</t>
        </is>
      </c>
      <c r="H33" s="3">
        <f>SUMIF($C$4:$C$127,G33,$E$4:$E$127)</f>
        <v>13.87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18.98</v>
      </c>
      <c r="G34" s="2" t="inlineStr">
        <is>
          <t xml:space="preserve">Streaming – Hulu</t>
        </is>
      </c>
      <c r="H34" s="3">
        <f>SUMIF($C$4:$C$127,G34,$E$4:$E$127)</f>
        <v>12.8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  <c r="G35" s="2" t="inlineStr">
        <is>
          <t xml:space="preserve">Streaming – Peacock (via Roku)</t>
        </is>
      </c>
      <c r="H35" s="3">
        <f>SUMIF($C$4:$C$127,G35,$E$4:$E$127)</f>
        <v>11.73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Medical – Granville Medical Center (Oxford)</t>
        </is>
      </c>
      <c r="D36" s="2" t="inlineStr">
        <is>
          <t xml:space="preserve">Health</t>
        </is>
      </c>
      <c r="E36" s="3">
        <v>8.85</v>
      </c>
      <c r="G36" s="2" t="inlineStr">
        <is>
          <t xml:space="preserve">Retail – Dollar Tree / Dollar General</t>
        </is>
      </c>
      <c r="H36" s="3">
        <f>SUMIF($C$4:$C$127,G36,$E$4:$E$127)</f>
        <v>5.87</v>
      </c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  <c r="G37" s="8" t="inlineStr">
        <is>
          <t xml:space="preserve">Total spending</t>
        </is>
      </c>
      <c r="H37" s="9">
        <f>SUM(H4:H36)</f>
        <v>12563.24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Retail – Walmart</t>
        </is>
      </c>
      <c r="D39" s="2" t="inlineStr">
        <is>
          <t xml:space="preserve">Retail</t>
        </is>
      </c>
      <c r="E39" s="3">
        <v>12.21</v>
      </c>
      <c r="G39" s="7" t="inlineStr">
        <is>
          <t xml:space="preserve">Not counted as spending</t>
        </is>
      </c>
      <c r="H39" s="7"/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  <c r="G40" s="2" t="inlineStr">
        <is>
          <t xml:space="preserve">Credit Card Payoff – American Express</t>
        </is>
      </c>
      <c r="H40" s="3">
        <f>SUMIF($C$4:$C$127,G40,$E$4:$E$127)</f>
        <v>7227.09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  <c r="G41" s="2" t="inlineStr">
        <is>
          <t xml:space="preserve">Dust and Mop House</t>
        </is>
      </c>
      <c r="H41" s="3">
        <f>SUMIF($C$4:$C$127,G41,$E$4:$E$127)</f>
        <v>100.0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Medical – Granville Medical Center (Oxford)</t>
        </is>
      </c>
      <c r="D42" s="2" t="inlineStr">
        <is>
          <t xml:space="preserve">Health</t>
        </is>
      </c>
      <c r="E42" s="3">
        <v>6.21</v>
      </c>
      <c r="G42" s="2" t="inlineStr">
        <is>
          <t xml:space="preserve">Sloane Realty</t>
        </is>
      </c>
      <c r="H42" s="3">
        <f>SUMIF($C$4:$C$127,G42,$E$4:$E$127)</f>
        <v>2891.98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  <c r="G43" s="2" t="inlineStr">
        <is>
          <t xml:space="preserve">Transfer to Own WF Account</t>
        </is>
      </c>
      <c r="H43" s="3">
        <f>SUMIF($C$4:$C$127,G43,$E$4:$E$127)</f>
        <v>3.26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  <c r="G44" s="2" t="inlineStr">
        <is>
          <t xml:space="preserve">WTW Health Premium (reimbursed by Via Benefits)</t>
        </is>
      </c>
      <c r="H44" s="3">
        <f>SUMIF($C$4:$C$127,G44,$E$4:$E$127)</f>
        <v>2576.0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Grocery – Publix</t>
        </is>
      </c>
      <c r="D45" s="2" t="inlineStr">
        <is>
          <t xml:space="preserve">Groceries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Grocery – Publix</t>
        </is>
      </c>
      <c r="D49" s="2" t="inlineStr">
        <is>
          <t xml:space="preserve">Groceries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– Frndly TV</t>
        </is>
      </c>
      <c r="D50" s="2" t="inlineStr">
        <is>
          <t xml:space="preserve">Streaming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Payoff – American Express</t>
        </is>
      </c>
      <c r="D55" s="2" t="inlineStr">
        <is>
          <t xml:space="preserve">Excluded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Yard Company (NextGen)</t>
        </is>
      </c>
      <c r="D56" s="2" t="inlineStr">
        <is>
          <t xml:space="preserve">Home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Retail – Walmart</t>
        </is>
      </c>
      <c r="D57" s="2" t="inlineStr">
        <is>
          <t xml:space="preserve">Retail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WTW Health Premium (reimbursed by Via Benefits)</t>
        </is>
      </c>
      <c r="D59" s="2" t="inlineStr">
        <is>
          <t xml:space="preserve">Excluded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Grocery – Lowes Foods</t>
        </is>
      </c>
      <c r="D62" s="2" t="inlineStr">
        <is>
          <t xml:space="preserve">Groceries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Grocery – Lowes Foods</t>
        </is>
      </c>
      <c r="D63" s="2" t="inlineStr">
        <is>
          <t xml:space="preserve">Groceries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Retail – Dick's Sporting Goods</t>
        </is>
      </c>
      <c r="D66" s="2" t="inlineStr">
        <is>
          <t xml:space="preserve">Retail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CVS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Retail – Belk (store card payments)</t>
        </is>
      </c>
      <c r="D70" s="2" t="inlineStr">
        <is>
          <t xml:space="preserve">Retail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– ESPN (Sept billed as Disney Plus)</t>
        </is>
      </c>
      <c r="D76" s="2" t="inlineStr">
        <is>
          <t xml:space="preserve">Streaming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Grocery – Lowes Foods</t>
        </is>
      </c>
      <c r="D77" s="2" t="inlineStr">
        <is>
          <t xml:space="preserve">Groceries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Student Loan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(Pest Control, Lawn Treatment)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Grocery – Lowes Foods</t>
        </is>
      </c>
      <c r="D89" s="2" t="inlineStr">
        <is>
          <t xml:space="preserve">Groceries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Grocery – Lowes Foods</t>
        </is>
      </c>
      <c r="D91" s="2" t="inlineStr">
        <is>
          <t xml:space="preserve">Groceries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Retail – Belk (store card payments)</t>
        </is>
      </c>
      <c r="D92" s="2" t="inlineStr">
        <is>
          <t xml:space="preserve">Retail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Payoff – American Express</t>
        </is>
      </c>
      <c r="D96" s="2" t="inlineStr">
        <is>
          <t xml:space="preserve">Excluded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Grocery – Publix</t>
        </is>
      </c>
      <c r="D99" s="2" t="inlineStr">
        <is>
          <t xml:space="preserve">Groceries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Grocery – Publix</t>
        </is>
      </c>
      <c r="D101" s="2" t="inlineStr">
        <is>
          <t xml:space="preserve">Groceries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Grocery – Lowes Foods</t>
        </is>
      </c>
      <c r="D103" s="2" t="inlineStr">
        <is>
          <t xml:space="preserve">Groceries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Grocery – Publix</t>
        </is>
      </c>
      <c r="D109" s="2" t="inlineStr">
        <is>
          <t xml:space="preserve">Groceries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CVS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Entertainment &amp; Events</t>
        </is>
      </c>
      <c r="D111" s="2" t="inlineStr">
        <is>
          <t xml:space="preserve">Recreation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Entertainment &amp; Events</t>
        </is>
      </c>
      <c r="D112" s="2" t="inlineStr">
        <is>
          <t xml:space="preserve">Recreation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Entertainment &amp; Events</t>
        </is>
      </c>
      <c r="D113" s="2" t="inlineStr">
        <is>
          <t xml:space="preserve">Recreation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Entertainment &amp; Events</t>
        </is>
      </c>
      <c r="D114" s="2" t="inlineStr">
        <is>
          <t xml:space="preserve">Recreation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Grocery – Food Lion</t>
        </is>
      </c>
      <c r="D117" s="2" t="inlineStr">
        <is>
          <t xml:space="preserve">Groceries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Phone &amp; Internet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– Peacock (via Roku)</t>
        </is>
      </c>
      <c r="D119" s="2" t="inlineStr">
        <is>
          <t xml:space="preserve">Streaming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Sloane Realty</t>
        </is>
      </c>
      <c r="D121" s="2" t="inlineStr">
        <is>
          <t xml:space="preserve">Excluded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– HBO Max</t>
        </is>
      </c>
      <c r="D123" s="2" t="inlineStr">
        <is>
          <t xml:space="preserve">Streaming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Dust and Mop House</t>
        </is>
      </c>
      <c r="D126" s="2" t="inlineStr">
        <is>
          <t xml:space="preserve">Excluded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Retail – Dollar Tree / Dollar General</t>
        </is>
      </c>
      <c r="D127" s="2" t="inlineStr">
        <is>
          <t xml:space="preserve">Retail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spending</t>
        </is>
      </c>
      <c r="E128" s="9">
        <f>SUMIF(D4:D127,"&lt;&gt;Excluded",E4:E127)</f>
        <v>12563.24</v>
      </c>
    </row>
    <row r="129">
      <c r="D129" s="7" t="inlineStr">
        <is>
          <t xml:space="preserve">Not counted (Excluded)</t>
        </is>
      </c>
      <c r="E129" s="6">
        <f>SUMIF(D4:D127,"Excluded",E4:E127)</f>
        <v>12798.33</v>
      </c>
    </row>
  </sheetData>
  <autoFilter ref="A3:E127"/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A&amp;D Mortgage</t>
        </is>
      </c>
      <c r="H4" s="3">
        <f>SUMIF($C$4:$C$110,G4,$E$4:$E$110)</f>
        <v>3411.1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Retail – Walmart</t>
        </is>
      </c>
      <c r="H5" s="3">
        <f>SUMIF($C$4:$C$110,G5,$E$4:$E$110)</f>
        <v>1732.6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St. James Membership (Club)</t>
        </is>
      </c>
      <c r="H6" s="3">
        <f>SUMIF($C$4:$C$110,G6,$E$4:$E$110)</f>
        <v>1492.11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Restaurants &amp; Takeout</t>
        </is>
      </c>
      <c r="H7" s="3">
        <f>SUMIF($C$4:$C$110,G7,$E$4:$E$110)</f>
        <v>962.62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Banner Life Insurance</t>
        </is>
      </c>
      <c r="H8" s="3">
        <f>SUMIF($C$4:$C$110,G8,$E$4:$E$110)</f>
        <v>710.06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Grocery – Lowes Foods</t>
        </is>
      </c>
      <c r="H9" s="3">
        <f>SUMIF($C$4:$C$110,G9,$E$4:$E$110)</f>
        <v>584.25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Grocery – Publix</t>
        </is>
      </c>
      <c r="H10" s="3">
        <f>SUMIF($C$4:$C$110,G10,$E$4:$E$110)</f>
        <v>522.68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– Hulu</t>
        </is>
      </c>
      <c r="D11" s="2" t="inlineStr">
        <is>
          <t xml:space="preserve">Streaming</t>
        </is>
      </c>
      <c r="E11" s="3">
        <v>12.8</v>
      </c>
      <c r="G11" s="2" t="inlineStr">
        <is>
          <t xml:space="preserve">Allstate Insurance</t>
        </is>
      </c>
      <c r="H11" s="3">
        <f>SUMIF($C$4:$C$110,G11,$E$4:$E$110)</f>
        <v>475.42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Grocery – Publix</t>
        </is>
      </c>
      <c r="D12" s="2" t="inlineStr">
        <is>
          <t xml:space="preserve">Groceries</t>
        </is>
      </c>
      <c r="E12" s="3">
        <v>85.7</v>
      </c>
      <c r="G12" s="2" t="inlineStr">
        <is>
          <t xml:space="preserve">Medical – Dosher Hospital (Southport)</t>
        </is>
      </c>
      <c r="H12" s="3">
        <f>SUMIF($C$4:$C$110,G12,$E$4:$E$110)</f>
        <v>467.66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Payoff – American Express</t>
        </is>
      </c>
      <c r="D13" s="2" t="inlineStr">
        <is>
          <t xml:space="preserve">Excluded</t>
        </is>
      </c>
      <c r="E13" s="3">
        <v>3929.91</v>
      </c>
      <c r="G13" s="2" t="inlineStr">
        <is>
          <t xml:space="preserve">Verizon Wireless</t>
        </is>
      </c>
      <c r="H13" s="3">
        <f>SUMIF($C$4:$C$110,G13,$E$4:$E$110)</f>
        <v>436.02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Haircuts – The Color Bar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Health Insurance – Blue Cross NC</t>
        </is>
      </c>
      <c r="H14" s="3">
        <f>SUMIF($C$4:$C$110,G14,$E$4:$E$110)</f>
        <v>432.5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Utility – Electric (BEMC)</t>
        </is>
      </c>
      <c r="H15" s="3">
        <f>SUMIF($C$4:$C$110,G15,$E$4:$E$110)</f>
        <v>406.96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Internet – Focus Broadband</t>
        </is>
      </c>
      <c r="D16" s="2" t="inlineStr">
        <is>
          <t xml:space="preserve">Phone &amp; Internet</t>
        </is>
      </c>
      <c r="E16" s="3">
        <v>80.79</v>
      </c>
      <c r="G16" s="2" t="inlineStr">
        <is>
          <t xml:space="preserve">CVS Pharmacy</t>
        </is>
      </c>
      <c r="H16" s="3">
        <f>SUMIF($C$4:$C$110,G16,$E$4:$E$110)</f>
        <v>383.24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– Dosher Hospital (Southport)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Transfers to People (Venmo/Zelle)</t>
        </is>
      </c>
      <c r="H17" s="3">
        <f>SUMIF($C$4:$C$110,G17,$E$4:$E$110)</f>
        <v>331.5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Yard Company (NextGen)</t>
        </is>
      </c>
      <c r="H18" s="3">
        <f>SUMIF($C$4:$C$110,G18,$E$4:$E$110)</f>
        <v>220.0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Haircuts – The Color Bar</t>
        </is>
      </c>
      <c r="H19" s="3">
        <f>SUMIF($C$4:$C$110,G19,$E$4:$E$110)</f>
        <v>182.5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Yard Company (NextGen)</t>
        </is>
      </c>
      <c r="D20" s="2" t="inlineStr">
        <is>
          <t xml:space="preserve">Home</t>
        </is>
      </c>
      <c r="E20" s="3">
        <v>100.0</v>
      </c>
      <c r="G20" s="2" t="inlineStr">
        <is>
          <t xml:space="preserve">Utility – Water/Sewer (Brunswick County)</t>
        </is>
      </c>
      <c r="H20" s="3">
        <f>SUMIF($C$4:$C$110,G20,$E$4:$E$110)</f>
        <v>179.33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(Pest Control, Lawn Treatment)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Retail – Dillard's</t>
        </is>
      </c>
      <c r="H21" s="3">
        <f>SUMIF($C$4:$C$110,G21,$E$4:$E$110)</f>
        <v>174.74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– YouTube TV (Google)</t>
        </is>
      </c>
      <c r="D22" s="2" t="inlineStr">
        <is>
          <t xml:space="preserve">Streaming</t>
        </is>
      </c>
      <c r="E22" s="3">
        <v>89.0</v>
      </c>
      <c r="G22" s="2" t="inlineStr">
        <is>
          <t xml:space="preserve">Retail – Lowe's (home improvement)</t>
        </is>
      </c>
      <c r="H22" s="3">
        <f>SUMIF($C$4:$C$110,G22,$E$4:$E$110)</f>
        <v>171.55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Gas &amp; Convenience Stores</t>
        </is>
      </c>
      <c r="H23" s="3">
        <f>SUMIF($C$4:$C$110,G23,$E$4:$E$110)</f>
        <v>167.24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Other Food Stores (Harris Teeter, Beach Pantry)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Retail – Hobby Lobby</t>
        </is>
      </c>
      <c r="H24" s="3">
        <f>SUMIF($C$4:$C$110,G24,$E$4:$E$110)</f>
        <v>165.67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– Disney (via Roku)</t>
        </is>
      </c>
      <c r="D25" s="2" t="inlineStr">
        <is>
          <t xml:space="preserve">Streaming</t>
        </is>
      </c>
      <c r="E25" s="3">
        <v>20.27</v>
      </c>
      <c r="G25" s="2" t="inlineStr">
        <is>
          <t xml:space="preserve">Internet – Focus Broadband</t>
        </is>
      </c>
      <c r="H25" s="3">
        <f>SUMIF($C$4:$C$110,G25,$E$4:$E$110)</f>
        <v>161.58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Student Loan (Dept of Education)</t>
        </is>
      </c>
      <c r="H26" s="3">
        <f>SUMIF($C$4:$C$110,G26,$E$4:$E$110)</f>
        <v>160.37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Home Services (Pest Control, Lawn Treatment)</t>
        </is>
      </c>
      <c r="H27" s="3">
        <f>SUMIF($C$4:$C$110,G27,$E$4:$E$110)</f>
        <v>104.0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Streaming – YouTube TV (Google)</t>
        </is>
      </c>
      <c r="H28" s="3">
        <f>SUMIF($C$4:$C$110,G28,$E$4:$E$110)</f>
        <v>89.0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Retail – HomeSense</t>
        </is>
      </c>
      <c r="H29" s="3">
        <f>SUMIF($C$4:$C$110,G29,$E$4:$E$110)</f>
        <v>88.7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2" t="inlineStr">
        <is>
          <t xml:space="preserve">Grocery – Food Lion</t>
        </is>
      </c>
      <c r="H30" s="3">
        <f>SUMIF($C$4:$C$110,G30,$E$4:$E$110)</f>
        <v>77.34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  <c r="G31" s="2" t="inlineStr">
        <is>
          <t xml:space="preserve">Life Insurance (Lincoln National)</t>
        </is>
      </c>
      <c r="H31" s="3">
        <f>SUMIF($C$4:$C$110,G31,$E$4:$E$110)</f>
        <v>73.61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2" t="inlineStr">
        <is>
          <t xml:space="preserve">Dental Insurance – Delta Dental</t>
        </is>
      </c>
      <c r="H32" s="3">
        <f>SUMIF($C$4:$C$110,G32,$E$4:$E$110)</f>
        <v>69.36</v>
      </c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  <c r="G33" s="2" t="inlineStr">
        <is>
          <t xml:space="preserve">Software &amp; Online Subscriptions</t>
        </is>
      </c>
      <c r="H33" s="3">
        <f>SUMIF($C$4:$C$110,G33,$E$4:$E$110)</f>
        <v>65.98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  <c r="G34" s="2" t="inlineStr">
        <is>
          <t xml:space="preserve">Retail – Tractor Supply</t>
        </is>
      </c>
      <c r="H34" s="3">
        <f>SUMIF($C$4:$C$110,G34,$E$4:$E$110)</f>
        <v>29.86</v>
      </c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  <c r="G35" s="2" t="inlineStr">
        <is>
          <t xml:space="preserve">Streaming – Frndly TV</t>
        </is>
      </c>
      <c r="H35" s="3">
        <f>SUMIF($C$4:$C$110,G35,$E$4:$E$110)</f>
        <v>22.41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CVS Pharmacy</t>
        </is>
      </c>
      <c r="D36" s="2" t="inlineStr">
        <is>
          <t xml:space="preserve">Health</t>
        </is>
      </c>
      <c r="E36" s="3">
        <v>202.55</v>
      </c>
      <c r="G36" s="2" t="inlineStr">
        <is>
          <t xml:space="preserve">Streaming – Disney (via Roku)</t>
        </is>
      </c>
      <c r="H36" s="3">
        <f>SUMIF($C$4:$C$110,G36,$E$4:$E$110)</f>
        <v>20.27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Retail – Walmart</t>
        </is>
      </c>
      <c r="D37" s="2" t="inlineStr">
        <is>
          <t xml:space="preserve">Retail</t>
        </is>
      </c>
      <c r="E37" s="3">
        <v>1461.9</v>
      </c>
      <c r="G37" s="2" t="inlineStr">
        <is>
          <t xml:space="preserve">Tolls &amp; Parking</t>
        </is>
      </c>
      <c r="H37" s="3">
        <f>SUMIF($C$4:$C$110,G37,$E$4:$E$110)</f>
        <v>18.44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  <c r="G38" s="2" t="inlineStr">
        <is>
          <t xml:space="preserve">Retail – Dollar Tree / Dollar General</t>
        </is>
      </c>
      <c r="H38" s="3">
        <f>SUMIF($C$4:$C$110,G38,$E$4:$E$110)</f>
        <v>17.35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  <c r="G39" s="2" t="inlineStr">
        <is>
          <t xml:space="preserve">Streaming – ESPN (Sept billed as Disney Plus)</t>
        </is>
      </c>
      <c r="H39" s="3">
        <f>SUMIF($C$4:$C$110,G39,$E$4:$E$110)</f>
        <v>13.87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  <c r="G40" s="2" t="inlineStr">
        <is>
          <t xml:space="preserve">Entertainment &amp; Events</t>
        </is>
      </c>
      <c r="H40" s="3">
        <f>SUMIF($C$4:$C$110,G40,$E$4:$E$110)</f>
        <v>13.5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  <c r="G41" s="2" t="inlineStr">
        <is>
          <t xml:space="preserve">Streaming – Hulu</t>
        </is>
      </c>
      <c r="H41" s="3">
        <f>SUMIF($C$4:$C$110,G41,$E$4:$E$110)</f>
        <v>12.8</v>
      </c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  <c r="G42" s="2" t="inlineStr">
        <is>
          <t xml:space="preserve">Other Food Stores (Harris Teeter, Beach Pantry)</t>
        </is>
      </c>
      <c r="H42" s="3">
        <f>SUMIF($C$4:$C$110,G42,$E$4:$E$110)</f>
        <v>5.85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Grocery – Publix</t>
        </is>
      </c>
      <c r="D43" s="2" t="inlineStr">
        <is>
          <t xml:space="preserve">Groceries</t>
        </is>
      </c>
      <c r="E43" s="3">
        <v>239.44</v>
      </c>
      <c r="G43" s="8" t="inlineStr">
        <is>
          <t xml:space="preserve">Total spending</t>
        </is>
      </c>
      <c r="H43" s="9">
        <f>SUM(H4:H42)</f>
        <v>14654.04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  <c r="G45" s="7" t="inlineStr">
        <is>
          <t xml:space="preserve">Not counted as spending</t>
        </is>
      </c>
      <c r="H45" s="7"/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  <c r="G46" s="2" t="inlineStr">
        <is>
          <t xml:space="preserve">Checks Written (payee not shown)</t>
        </is>
      </c>
      <c r="H46" s="3">
        <f>SUMIF($C$4:$C$110,G46,$E$4:$E$110)</f>
        <v>728.0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Grocery – Lowes Foods</t>
        </is>
      </c>
      <c r="D47" s="2" t="inlineStr">
        <is>
          <t xml:space="preserve">Groceries</t>
        </is>
      </c>
      <c r="E47" s="3">
        <v>63.82</v>
      </c>
      <c r="G47" s="2" t="inlineStr">
        <is>
          <t xml:space="preserve">Credit Card Payoff – American Express</t>
        </is>
      </c>
      <c r="H47" s="3">
        <f>SUMIF($C$4:$C$110,G47,$E$4:$E$110)</f>
        <v>4593.08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Retail – Dollar Tree / Dollar General</t>
        </is>
      </c>
      <c r="D48" s="2" t="inlineStr">
        <is>
          <t xml:space="preserve">Retail</t>
        </is>
      </c>
      <c r="E48" s="3">
        <v>17.35</v>
      </c>
      <c r="G48" s="2" t="inlineStr">
        <is>
          <t xml:space="preserve">Dust and Mop House</t>
        </is>
      </c>
      <c r="H48" s="3">
        <f>SUMIF($C$4:$C$110,G48,$E$4:$E$110)</f>
        <v>432.6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Retail – Hobby Lobby</t>
        </is>
      </c>
      <c r="D49" s="2" t="inlineStr">
        <is>
          <t xml:space="preserve">Retail</t>
        </is>
      </c>
      <c r="E49" s="3">
        <v>20.66</v>
      </c>
      <c r="G49" s="2" t="inlineStr">
        <is>
          <t xml:space="preserve">WTW Health Premium (reimbursed by Via Benefits)</t>
        </is>
      </c>
      <c r="H49" s="3">
        <f>SUMIF($C$4:$C$110,G49,$E$4:$E$110)</f>
        <v>2576.0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Grocery – Food Lion</t>
        </is>
      </c>
      <c r="D50" s="2" t="inlineStr">
        <is>
          <t xml:space="preserve">Groceries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Yard Company (NextGen)</t>
        </is>
      </c>
      <c r="D52" s="2" t="inlineStr">
        <is>
          <t xml:space="preserve">Home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– Frndly TV</t>
        </is>
      </c>
      <c r="D53" s="2" t="inlineStr">
        <is>
          <t xml:space="preserve">Streaming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Grocery – Publix</t>
        </is>
      </c>
      <c r="D54" s="2" t="inlineStr">
        <is>
          <t xml:space="preserve">Groceries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Dust and Mop House</t>
        </is>
      </c>
      <c r="D55" s="2" t="inlineStr">
        <is>
          <t xml:space="preserve">Excluded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Excluded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CVS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WTW Health Premium (reimbursed by Via Benefits)</t>
        </is>
      </c>
      <c r="D60" s="2" t="inlineStr">
        <is>
          <t xml:space="preserve">Excluded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Retail – Lowe's (home improvement)</t>
        </is>
      </c>
      <c r="D62" s="2" t="inlineStr">
        <is>
          <t xml:space="preserve">Retail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Internet – Focus Broadband</t>
        </is>
      </c>
      <c r="D63" s="2" t="inlineStr">
        <is>
          <t xml:space="preserve">Phone &amp; Internet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&amp; Events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Retail – Walmart</t>
        </is>
      </c>
      <c r="D67" s="2" t="inlineStr">
        <is>
          <t xml:space="preserve">Retail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Grocery – Publix</t>
        </is>
      </c>
      <c r="D70" s="2" t="inlineStr">
        <is>
          <t xml:space="preserve">Groceries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Excluded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– ESPN (Sept billed as Disney Plus)</t>
        </is>
      </c>
      <c r="D75" s="2" t="inlineStr">
        <is>
          <t xml:space="preserve">Streaming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– Dosher Hospital (Southport)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Retail – HomeSense</t>
        </is>
      </c>
      <c r="D77" s="2" t="inlineStr">
        <is>
          <t xml:space="preserve">Retail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Retail – Dillard's</t>
        </is>
      </c>
      <c r="D78" s="2" t="inlineStr">
        <is>
          <t xml:space="preserve">Retail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Student Loan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Grocery – Lowes Foods</t>
        </is>
      </c>
      <c r="D83" s="2" t="inlineStr">
        <is>
          <t xml:space="preserve">Groceries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Retail – Hobby Lobby</t>
        </is>
      </c>
      <c r="D85" s="2" t="inlineStr">
        <is>
          <t xml:space="preserve">Retail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Grocery – Lowes Foods</t>
        </is>
      </c>
      <c r="D87" s="2" t="inlineStr">
        <is>
          <t xml:space="preserve">Groceries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Yard Company (NextGen)</t>
        </is>
      </c>
      <c r="D91" s="2" t="inlineStr">
        <is>
          <t xml:space="preserve">Home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Retail – Tractor Supply</t>
        </is>
      </c>
      <c r="D92" s="2" t="inlineStr">
        <is>
          <t xml:space="preserve">Retail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Grocery – Lowes Foods</t>
        </is>
      </c>
      <c r="D93" s="2" t="inlineStr">
        <is>
          <t xml:space="preserve">Groceries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Excluded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CVS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Payoff – American Express</t>
        </is>
      </c>
      <c r="D97" s="2" t="inlineStr">
        <is>
          <t xml:space="preserve">Excluded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Haircuts – The Color Bar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Retail – Walmart</t>
        </is>
      </c>
      <c r="D100" s="2" t="inlineStr">
        <is>
          <t xml:space="preserve">Retail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Grocery – Lowes Foods</t>
        </is>
      </c>
      <c r="D104" s="2" t="inlineStr">
        <is>
          <t xml:space="preserve">Groceries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Grocery – Lowes Foods</t>
        </is>
      </c>
      <c r="D105" s="2" t="inlineStr">
        <is>
          <t xml:space="preserve">Groceries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Phone &amp; Internet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Retail – Dillard's</t>
        </is>
      </c>
      <c r="D108" s="2" t="inlineStr">
        <is>
          <t xml:space="preserve">Retail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Grocery – Lowes Foods</t>
        </is>
      </c>
      <c r="D109" s="2" t="inlineStr">
        <is>
          <t xml:space="preserve">Groceries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spending</t>
        </is>
      </c>
      <c r="E111" s="9">
        <f>SUMIF(D4:D110,"&lt;&gt;Excluded",E4:E110)</f>
        <v>14654.04</v>
      </c>
    </row>
    <row r="112">
      <c r="D112" s="7" t="inlineStr">
        <is>
          <t xml:space="preserve">Not counted (Excluded)</t>
        </is>
      </c>
      <c r="E112" s="6">
        <f>SUMIF(D4:D110,"Excluded",E4:E110)</f>
        <v>8329.68</v>
      </c>
    </row>
  </sheetData>
  <autoFilter ref="A3:E110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A&amp;D Mortgage</t>
        </is>
      </c>
      <c r="H4" s="3">
        <f>SUMIF($C$4:$C$88,G4,$E$4:$E$88)</f>
        <v>3411.1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Retail – Cat on a Whisk</t>
        </is>
      </c>
      <c r="D5" s="2" t="inlineStr">
        <is>
          <t xml:space="preserve">Retail</t>
        </is>
      </c>
      <c r="E5" s="3">
        <v>24.51</v>
      </c>
      <c r="G5" s="2" t="inlineStr">
        <is>
          <t xml:space="preserve">St. James Membership (Club)</t>
        </is>
      </c>
      <c r="H5" s="3">
        <f>SUMIF($C$4:$C$88,G5,$E$4:$E$88)</f>
        <v>1767.0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Restaurants &amp; Takeout</t>
        </is>
      </c>
      <c r="H6" s="3">
        <f>SUMIF($C$4:$C$88,G6,$E$4:$E$88)</f>
        <v>839.3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– Wilmington Eye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Banner Life Insurance</t>
        </is>
      </c>
      <c r="H7" s="3">
        <f>SUMIF($C$4:$C$88,G7,$E$4:$E$88)</f>
        <v>710.06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Grocery – Publix</t>
        </is>
      </c>
      <c r="H8" s="3">
        <f>SUMIF($C$4:$C$88,G8,$E$4:$E$88)</f>
        <v>630.65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Grocery – Lowes Foods</t>
        </is>
      </c>
      <c r="H9" s="3">
        <f>SUMIF($C$4:$C$88,G9,$E$4:$E$88)</f>
        <v>571.85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– Disney (via Roku)</t>
        </is>
      </c>
      <c r="D10" s="2" t="inlineStr">
        <is>
          <t xml:space="preserve">Streaming</t>
        </is>
      </c>
      <c r="E10" s="3">
        <v>20.27</v>
      </c>
      <c r="G10" s="2" t="inlineStr">
        <is>
          <t xml:space="preserve">Utility – Electric (BEMC)</t>
        </is>
      </c>
      <c r="H10" s="3">
        <f>SUMIF($C$4:$C$88,G10,$E$4:$E$88)</f>
        <v>419.66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Retail – Walmart</t>
        </is>
      </c>
      <c r="D11" s="2" t="inlineStr">
        <is>
          <t xml:space="preserve">Retail</t>
        </is>
      </c>
      <c r="E11" s="3">
        <v>32.63</v>
      </c>
      <c r="G11" s="2" t="inlineStr">
        <is>
          <t xml:space="preserve">Verizon Wireless</t>
        </is>
      </c>
      <c r="H11" s="3">
        <f>SUMIF($C$4:$C$88,G11,$E$4:$E$88)</f>
        <v>386.85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Allstate Insurance</t>
        </is>
      </c>
      <c r="H12" s="3">
        <f>SUMIF($C$4:$C$88,G12,$E$4:$E$88)</f>
        <v>354.17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Grocery – Lowes Foods</t>
        </is>
      </c>
      <c r="D13" s="2" t="inlineStr">
        <is>
          <t xml:space="preserve">Groceries</t>
        </is>
      </c>
      <c r="E13" s="3">
        <v>5.28</v>
      </c>
      <c r="G13" s="2" t="inlineStr">
        <is>
          <t xml:space="preserve">Gas &amp; Convenience Stores</t>
        </is>
      </c>
      <c r="H13" s="3">
        <f>SUMIF($C$4:$C$88,G13,$E$4:$E$88)</f>
        <v>238.98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Health Insurance – Blue Cross NC</t>
        </is>
      </c>
      <c r="H14" s="3">
        <f>SUMIF($C$4:$C$88,G14,$E$4:$E$88)</f>
        <v>216.25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Donations &amp; Clubs (Kiwanis)</t>
        </is>
      </c>
      <c r="H15" s="3">
        <f>SUMIF($C$4:$C$88,G15,$E$4:$E$88)</f>
        <v>200.0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Grocery – Publix</t>
        </is>
      </c>
      <c r="D16" s="2" t="inlineStr">
        <is>
          <t xml:space="preserve">Groceries</t>
        </is>
      </c>
      <c r="E16" s="3">
        <v>98.73</v>
      </c>
      <c r="G16" s="2" t="inlineStr">
        <is>
          <t xml:space="preserve">Student Loan (Dept of Education)</t>
        </is>
      </c>
      <c r="H16" s="3">
        <f>SUMIF($C$4:$C$88,G16,$E$4:$E$88)</f>
        <v>160.37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Yard Company (NextGen)</t>
        </is>
      </c>
      <c r="D17" s="2" t="inlineStr">
        <is>
          <t xml:space="preserve">Home</t>
        </is>
      </c>
      <c r="E17" s="3">
        <v>60.0</v>
      </c>
      <c r="G17" s="2" t="inlineStr">
        <is>
          <t xml:space="preserve">Cash (ATM) &amp; Bank Fees</t>
        </is>
      </c>
      <c r="H17" s="3">
        <f>SUMIF($C$4:$C$88,G17,$E$4:$E$88)</f>
        <v>147.0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Grocery – Lowes Foods</t>
        </is>
      </c>
      <c r="D18" s="2" t="inlineStr">
        <is>
          <t xml:space="preserve">Groceries</t>
        </is>
      </c>
      <c r="E18" s="3">
        <v>53.9</v>
      </c>
      <c r="G18" s="2" t="inlineStr">
        <is>
          <t xml:space="preserve">Streaming – YouTube TV (Google)</t>
        </is>
      </c>
      <c r="H18" s="3">
        <f>SUMIF($C$4:$C$88,G18,$E$4:$E$88)</f>
        <v>132.43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Grocery – Lowes Foods</t>
        </is>
      </c>
      <c r="D19" s="2" t="inlineStr">
        <is>
          <t xml:space="preserve">Groceries</t>
        </is>
      </c>
      <c r="E19" s="3">
        <v>174.04</v>
      </c>
      <c r="G19" s="2" t="inlineStr">
        <is>
          <t xml:space="preserve">Transfers to People (Venmo/Zelle)</t>
        </is>
      </c>
      <c r="H19" s="3">
        <f>SUMIF($C$4:$C$88,G19,$E$4:$E$88)</f>
        <v>130.0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Yard Company (NextGen)</t>
        </is>
      </c>
      <c r="H20" s="3">
        <f>SUMIF($C$4:$C$88,G20,$E$4:$E$88)</f>
        <v>120.0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Retail – Local shops (Hippie Chick, Southport Spices, Mad River, Coastal Carolina)</t>
        </is>
      </c>
      <c r="H21" s="3">
        <f>SUMIF($C$4:$C$88,G21,$E$4:$E$88)</f>
        <v>119.97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Medical – Dosher Hospital (Southport)</t>
        </is>
      </c>
      <c r="H22" s="3">
        <f>SUMIF($C$4:$C$88,G22,$E$4:$E$88)</f>
        <v>100.28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Retail – Lowe's (home improvement)</t>
        </is>
      </c>
      <c r="H23" s="3">
        <f>SUMIF($C$4:$C$88,G23,$E$4:$E$88)</f>
        <v>85.27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Utility – Water/Sewer (Brunswick County)</t>
        </is>
      </c>
      <c r="H24" s="3">
        <f>SUMIF($C$4:$C$88,G24,$E$4:$E$88)</f>
        <v>84.26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– Simple Beauty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Personal Care – Simple Beauty</t>
        </is>
      </c>
      <c r="H25" s="3">
        <f>SUMIF($C$4:$C$88,G25,$E$4:$E$88)</f>
        <v>82.0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Internet – Focus Broadband</t>
        </is>
      </c>
      <c r="H26" s="3">
        <f>SUMIF($C$4:$C$88,G26,$E$4:$E$88)</f>
        <v>80.79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Grocery – Lowes Foods</t>
        </is>
      </c>
      <c r="D27" s="2" t="inlineStr">
        <is>
          <t xml:space="preserve">Groceries</t>
        </is>
      </c>
      <c r="E27" s="3">
        <v>28.23</v>
      </c>
      <c r="G27" s="2" t="inlineStr">
        <is>
          <t xml:space="preserve">Life Insurance (Lincoln National)</t>
        </is>
      </c>
      <c r="H27" s="3">
        <f>SUMIF($C$4:$C$88,G27,$E$4:$E$88)</f>
        <v>73.61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Haircuts – The Color Bar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Dental Insurance – Delta Dental</t>
        </is>
      </c>
      <c r="H28" s="3">
        <f>SUMIF($C$4:$C$88,G28,$E$4:$E$88)</f>
        <v>69.36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2" t="inlineStr">
        <is>
          <t xml:space="preserve">Tolls &amp; Parking</t>
        </is>
      </c>
      <c r="H29" s="3">
        <f>SUMIF($C$4:$C$88,G29,$E$4:$E$88)</f>
        <v>68.24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– Frndly TV</t>
        </is>
      </c>
      <c r="D30" s="2" t="inlineStr">
        <is>
          <t xml:space="preserve">Streaming</t>
        </is>
      </c>
      <c r="E30" s="3">
        <v>22.41</v>
      </c>
      <c r="G30" s="2" t="inlineStr">
        <is>
          <t xml:space="preserve">Medical – Wilmington Eye</t>
        </is>
      </c>
      <c r="H30" s="3">
        <f>SUMIF($C$4:$C$88,G30,$E$4:$E$88)</f>
        <v>60.0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Retail – Local shops (Hippie Chick, Southport Spices, Mad River, Coastal Carolina)</t>
        </is>
      </c>
      <c r="D31" s="2" t="inlineStr">
        <is>
          <t xml:space="preserve">Retail</t>
        </is>
      </c>
      <c r="E31" s="3">
        <v>59.99</v>
      </c>
      <c r="G31" s="2" t="inlineStr">
        <is>
          <t xml:space="preserve">Retail – Marshalls</t>
        </is>
      </c>
      <c r="H31" s="3">
        <f>SUMIF($C$4:$C$88,G31,$E$4:$E$88)</f>
        <v>41.59</v>
      </c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Retail – Local shops (Hippie Chick, Southport Spices, Mad River, Coastal Carolina)</t>
        </is>
      </c>
      <c r="D32" s="2" t="inlineStr">
        <is>
          <t xml:space="preserve">Retail</t>
        </is>
      </c>
      <c r="E32" s="3">
        <v>36.99</v>
      </c>
      <c r="G32" s="2" t="inlineStr">
        <is>
          <t xml:space="preserve">Retail – Hobby Lobby</t>
        </is>
      </c>
      <c r="H32" s="3">
        <f>SUMIF($C$4:$C$88,G32,$E$4:$E$88)</f>
        <v>37.33</v>
      </c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  <c r="G33" s="2" t="inlineStr">
        <is>
          <t xml:space="preserve">Retail – Walmart</t>
        </is>
      </c>
      <c r="H33" s="3">
        <f>SUMIF($C$4:$C$88,G33,$E$4:$E$88)</f>
        <v>32.63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121.64</v>
      </c>
      <c r="G34" s="2" t="inlineStr">
        <is>
          <t xml:space="preserve">Haircuts – The Color Bar</t>
        </is>
      </c>
      <c r="H34" s="3">
        <f>SUMIF($C$4:$C$88,G34,$E$4:$E$88)</f>
        <v>32.5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  <c r="G35" s="2" t="inlineStr">
        <is>
          <t xml:space="preserve">Retail – Cat on a Whisk</t>
        </is>
      </c>
      <c r="H35" s="3">
        <f>SUMIF($C$4:$C$88,G35,$E$4:$E$88)</f>
        <v>24.51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  <c r="G36" s="2" t="inlineStr">
        <is>
          <t xml:space="preserve">Streaming – Frndly TV</t>
        </is>
      </c>
      <c r="H36" s="3">
        <f>SUMIF($C$4:$C$88,G36,$E$4:$E$88)</f>
        <v>22.41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  <c r="G37" s="2" t="inlineStr">
        <is>
          <t xml:space="preserve">Streaming – Disney (via Roku)</t>
        </is>
      </c>
      <c r="H37" s="3">
        <f>SUMIF($C$4:$C$88,G37,$E$4:$E$88)</f>
        <v>20.27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  <c r="G38" s="2" t="inlineStr">
        <is>
          <t xml:space="preserve">Retail – Ross</t>
        </is>
      </c>
      <c r="H38" s="3">
        <f>SUMIF($C$4:$C$88,G38,$E$4:$E$88)</f>
        <v>16.32</v>
      </c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Grocery – Lowes Foods</t>
        </is>
      </c>
      <c r="D39" s="2" t="inlineStr">
        <is>
          <t xml:space="preserve">Groceries</t>
        </is>
      </c>
      <c r="E39" s="3">
        <v>221.77</v>
      </c>
      <c r="G39" s="2" t="inlineStr">
        <is>
          <t xml:space="preserve">Medical – Duke Hospital (Durham, food &amp; parking)</t>
        </is>
      </c>
      <c r="H39" s="3">
        <f>SUMIF($C$4:$C$88,G39,$E$4:$E$88)</f>
        <v>14.75</v>
      </c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WTW Health Premium (reimbursed by Via Benefits)</t>
        </is>
      </c>
      <c r="D40" s="2" t="inlineStr">
        <is>
          <t xml:space="preserve">Excluded</t>
        </is>
      </c>
      <c r="E40" s="3">
        <v>2576.0</v>
      </c>
      <c r="G40" s="2" t="inlineStr">
        <is>
          <t xml:space="preserve">Streaming – ESPN (Sept billed as Disney Plus)</t>
        </is>
      </c>
      <c r="H40" s="3">
        <f>SUMIF($C$4:$C$88,G40,$E$4:$E$88)</f>
        <v>13.87</v>
      </c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  <c r="G41" s="8" t="inlineStr">
        <is>
          <t xml:space="preserve">Total spending</t>
        </is>
      </c>
      <c r="H41" s="9">
        <f>SUM(H4:H40)</f>
        <v>11515.63</v>
      </c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– Dosher Hospital (Southport)</t>
        </is>
      </c>
      <c r="D43" s="2" t="inlineStr">
        <is>
          <t xml:space="preserve">Health</t>
        </is>
      </c>
      <c r="E43" s="3">
        <v>100.28</v>
      </c>
      <c r="G43" s="7" t="inlineStr">
        <is>
          <t xml:space="preserve">Not counted as spending</t>
        </is>
      </c>
      <c r="H43" s="7"/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  <c r="G44" s="2" t="inlineStr">
        <is>
          <t xml:space="preserve">Credit Card Payoff – American Express</t>
        </is>
      </c>
      <c r="H44" s="3">
        <f>SUMIF($C$4:$C$88,G44,$E$4:$E$88)</f>
        <v>4738.51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SUMIF($C$4:$C$88,G45,$E$4:$E$88)</f>
        <v>2576.0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Retail – Lowe's (home improvement)</t>
        </is>
      </c>
      <c r="D46" s="2" t="inlineStr">
        <is>
          <t xml:space="preserve">Retail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– ESPN (Sept billed as Disney Plus)</t>
        </is>
      </c>
      <c r="D50" s="2" t="inlineStr">
        <is>
          <t xml:space="preserve">Streaming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– YouTube TV (Google)</t>
        </is>
      </c>
      <c r="D51" s="2" t="inlineStr">
        <is>
          <t xml:space="preserve">Streaming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Grocery – Lowes Foods</t>
        </is>
      </c>
      <c r="D54" s="2" t="inlineStr">
        <is>
          <t xml:space="preserve">Groceries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Student Loan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Medical – Duke Hospital (Durham, food &amp; parking)</t>
        </is>
      </c>
      <c r="D56" s="2" t="inlineStr">
        <is>
          <t xml:space="preserve">Health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Yard Company (NextGen)</t>
        </is>
      </c>
      <c r="D57" s="2" t="inlineStr">
        <is>
          <t xml:space="preserve">Home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Medical – Duke Hospital (Durham, food &amp; parking)</t>
        </is>
      </c>
      <c r="D58" s="2" t="inlineStr">
        <is>
          <t xml:space="preserve">Health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Retail – Marshalls</t>
        </is>
      </c>
      <c r="D62" s="2" t="inlineStr">
        <is>
          <t xml:space="preserve">Retail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Retail – Hobby Lobby</t>
        </is>
      </c>
      <c r="D63" s="2" t="inlineStr">
        <is>
          <t xml:space="preserve">Retail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Retail – Ross</t>
        </is>
      </c>
      <c r="D68" s="2" t="inlineStr">
        <is>
          <t xml:space="preserve">Retail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Grocery – Publix</t>
        </is>
      </c>
      <c r="D76" s="2" t="inlineStr">
        <is>
          <t xml:space="preserve">Groceries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Phone &amp; Internet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Payoff – American Express</t>
        </is>
      </c>
      <c r="D79" s="2" t="inlineStr">
        <is>
          <t xml:space="preserve">Excluded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Retail – Local shops (Hippie Chick, Southport Spices, Mad River, Coastal Carolina)</t>
        </is>
      </c>
      <c r="D80" s="2" t="inlineStr">
        <is>
          <t xml:space="preserve">Retail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Grocery – Publix</t>
        </is>
      </c>
      <c r="D85" s="2" t="inlineStr">
        <is>
          <t xml:space="preserve">Groceries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spending</t>
        </is>
      </c>
      <c r="E89" s="9">
        <f>SUMIF(D4:D88,"&lt;&gt;Excluded",E4:E88)</f>
        <v>11515.63</v>
      </c>
    </row>
    <row r="90">
      <c r="D90" s="7" t="inlineStr">
        <is>
          <t xml:space="preserve">Not counted (Excluded)</t>
        </is>
      </c>
      <c r="E90" s="6">
        <f>SUMIF(D4:D88,"Excluded",E4:E88)</f>
        <v>7314.51</v>
      </c>
    </row>
  </sheetData>
  <autoFilter ref="A3:E88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Retail – Belk (store card payments)</t>
        </is>
      </c>
      <c r="E9" s="2" t="inlineStr">
        <is>
          <t xml:space="preserve">Retail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– YouTube TV (Google)</t>
        </is>
      </c>
      <c r="E10" s="2" t="inlineStr">
        <is>
          <t xml:space="preserve">Streaming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– YouTube TV (Google)</t>
        </is>
      </c>
      <c r="E11" s="2" t="inlineStr">
        <is>
          <t xml:space="preserve">Streaming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– Disney (via Roku)</t>
        </is>
      </c>
      <c r="E12" s="2" t="inlineStr">
        <is>
          <t xml:space="preserve">Streaming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Grocery – Lowes Foods</t>
        </is>
      </c>
      <c r="E13" s="2" t="inlineStr">
        <is>
          <t xml:space="preserve">Groceries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Retail – Local shops (Hippie Chick, Southport Spices, Mad River, Coastal Carolina)</t>
        </is>
      </c>
      <c r="E16" s="2" t="inlineStr">
        <is>
          <t xml:space="preserve">Retail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Retail – Bath &amp; Body Works</t>
        </is>
      </c>
      <c r="E19" s="2" t="inlineStr">
        <is>
          <t xml:space="preserve">Retail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Retail – Ulta Beauty</t>
        </is>
      </c>
      <c r="E20" s="2" t="inlineStr">
        <is>
          <t xml:space="preserve">Retail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Grocery – Lowes Foods</t>
        </is>
      </c>
      <c r="E22" s="2" t="inlineStr">
        <is>
          <t xml:space="preserve">Groceries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Excluded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Grocery – Lowes Foods</t>
        </is>
      </c>
      <c r="E31" s="2" t="inlineStr">
        <is>
          <t xml:space="preserve">Groceries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– Frndly TV</t>
        </is>
      </c>
      <c r="E33" s="2" t="inlineStr">
        <is>
          <t xml:space="preserve">Streaming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Haircuts – The Color Bar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Excluded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Retail – Lowe's (home improvement)</t>
        </is>
      </c>
      <c r="E39" s="2" t="inlineStr">
        <is>
          <t xml:space="preserve">Retail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WTW Health Premium (reimbursed by Via Benefits)</t>
        </is>
      </c>
      <c r="E40" s="2" t="inlineStr">
        <is>
          <t xml:space="preserve">Excluded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Internet – Focus Broadband</t>
        </is>
      </c>
      <c r="E46" s="2" t="inlineStr">
        <is>
          <t xml:space="preserve">Phone &amp; Internet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Retail – Ross</t>
        </is>
      </c>
      <c r="E52" s="2" t="inlineStr">
        <is>
          <t xml:space="preserve">Retail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Retail – Ulta Beauty</t>
        </is>
      </c>
      <c r="E53" s="2" t="inlineStr">
        <is>
          <t xml:space="preserve">Retail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Grocery – Lowes Foods</t>
        </is>
      </c>
      <c r="E58" s="2" t="inlineStr">
        <is>
          <t xml:space="preserve">Groceries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Grocery – Lowes Foods</t>
        </is>
      </c>
      <c r="E65" s="2" t="inlineStr">
        <is>
          <t xml:space="preserve">Groceries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– ESPN (Sept billed as Disney Plus)</t>
        </is>
      </c>
      <c r="E66" s="2" t="inlineStr">
        <is>
          <t xml:space="preserve">Streaming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Student Loan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Grocery – Lowes Foods</t>
        </is>
      </c>
      <c r="E70" s="2" t="inlineStr">
        <is>
          <t xml:space="preserve">Groceries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Grocery – Publix</t>
        </is>
      </c>
      <c r="E75" s="2" t="inlineStr">
        <is>
          <t xml:space="preserve">Groceries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Other Food Stores (Harris Teeter, Beach Pantry)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Other Food Stores (Harris Teeter, Beach Pantry)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Retail – Local shops (Hippie Chick, Southport Spices, Mad River, Coastal Carolina)</t>
        </is>
      </c>
      <c r="E83" s="2" t="inlineStr">
        <is>
          <t xml:space="preserve">Retail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Retail – Local shops (Hippie Chick, Southport Spices, Mad River, Coastal Carolina)</t>
        </is>
      </c>
      <c r="E84" s="2" t="inlineStr">
        <is>
          <t xml:space="preserve">Retail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Grocery – Lowes Foods</t>
        </is>
      </c>
      <c r="E85" s="2" t="inlineStr">
        <is>
          <t xml:space="preserve">Groceries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Retail – Target</t>
        </is>
      </c>
      <c r="E86" s="2" t="inlineStr">
        <is>
          <t xml:space="preserve">Retail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– Peacock (via Roku)</t>
        </is>
      </c>
      <c r="E111" s="2" t="inlineStr">
        <is>
          <t xml:space="preserve">Streaming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CVS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– HBO Max</t>
        </is>
      </c>
      <c r="E113" s="2" t="inlineStr">
        <is>
          <t xml:space="preserve">Streaming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CVS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Grocery – Lowes Foods</t>
        </is>
      </c>
      <c r="E115" s="2" t="inlineStr">
        <is>
          <t xml:space="preserve">Groceries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Phone &amp; Internet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Yard Company (NextGen)</t>
        </is>
      </c>
      <c r="E119" s="2" t="inlineStr">
        <is>
          <t xml:space="preserve">Home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Haircuts – The Color Bar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– Hulu</t>
        </is>
      </c>
      <c r="E125" s="2" t="inlineStr">
        <is>
          <t xml:space="preserve">Streaming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Grocery – Lowes Foods</t>
        </is>
      </c>
      <c r="E127" s="2" t="inlineStr">
        <is>
          <t xml:space="preserve">Groceries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Own WF Account</t>
        </is>
      </c>
      <c r="E132" s="2" t="inlineStr">
        <is>
          <t xml:space="preserve">Excluded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Payoff – American Express</t>
        </is>
      </c>
      <c r="E133" s="2" t="inlineStr">
        <is>
          <t xml:space="preserve">Excluded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Payoff – American Express</t>
        </is>
      </c>
      <c r="E134" s="2" t="inlineStr">
        <is>
          <t xml:space="preserve">Excluded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Grocery – Lowes Foods</t>
        </is>
      </c>
      <c r="E140" s="2" t="inlineStr">
        <is>
          <t xml:space="preserve">Groceries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Grocery – Publix</t>
        </is>
      </c>
      <c r="E142" s="2" t="inlineStr">
        <is>
          <t xml:space="preserve">Groceries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– YouTube TV (Google)</t>
        </is>
      </c>
      <c r="E143" s="2" t="inlineStr">
        <is>
          <t xml:space="preserve">Streaming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– YouTube TV (Google)</t>
        </is>
      </c>
      <c r="E144" s="2" t="inlineStr">
        <is>
          <t xml:space="preserve">Streaming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– Disney (via Roku)</t>
        </is>
      </c>
      <c r="E145" s="2" t="inlineStr">
        <is>
          <t xml:space="preserve">Streaming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Retail – Walmart</t>
        </is>
      </c>
      <c r="E147" s="2" t="inlineStr">
        <is>
          <t xml:space="preserve">Retail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CVS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Retail – Walmart</t>
        </is>
      </c>
      <c r="E149" s="2" t="inlineStr">
        <is>
          <t xml:space="preserve">Retail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Medical – Granville Medical Center (Oxford)</t>
        </is>
      </c>
      <c r="E150" s="2" t="inlineStr">
        <is>
          <t xml:space="preserve">Health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Grocery – Publix</t>
        </is>
      </c>
      <c r="E151" s="2" t="inlineStr">
        <is>
          <t xml:space="preserve">Groceries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Medical – Granville Medical Center (Oxford)</t>
        </is>
      </c>
      <c r="E153" s="2" t="inlineStr">
        <is>
          <t xml:space="preserve">Health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Retail – Walmart</t>
        </is>
      </c>
      <c r="E156" s="2" t="inlineStr">
        <is>
          <t xml:space="preserve">Retail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Medical – Granville Medical Center (Oxford)</t>
        </is>
      </c>
      <c r="E159" s="2" t="inlineStr">
        <is>
          <t xml:space="preserve">Health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Grocery – Publix</t>
        </is>
      </c>
      <c r="E162" s="2" t="inlineStr">
        <is>
          <t xml:space="preserve">Groceries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Grocery – Publix</t>
        </is>
      </c>
      <c r="E166" s="2" t="inlineStr">
        <is>
          <t xml:space="preserve">Groceries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– Frndly TV</t>
        </is>
      </c>
      <c r="E167" s="2" t="inlineStr">
        <is>
          <t xml:space="preserve">Streaming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Payoff – American Express</t>
        </is>
      </c>
      <c r="E172" s="2" t="inlineStr">
        <is>
          <t xml:space="preserve">Excluded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Yard Company (NextGen)</t>
        </is>
      </c>
      <c r="E173" s="2" t="inlineStr">
        <is>
          <t xml:space="preserve">Home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Retail – Walmart</t>
        </is>
      </c>
      <c r="E174" s="2" t="inlineStr">
        <is>
          <t xml:space="preserve">Retail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Grocery – Lowes Foods</t>
        </is>
      </c>
      <c r="E175" s="2" t="inlineStr">
        <is>
          <t xml:space="preserve">Groceries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WTW Health Premium (reimbursed by Via Benefits)</t>
        </is>
      </c>
      <c r="E176" s="2" t="inlineStr">
        <is>
          <t xml:space="preserve">Excluded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Grocery – Lowes Foods</t>
        </is>
      </c>
      <c r="E179" s="2" t="inlineStr">
        <is>
          <t xml:space="preserve">Groceries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Grocery – Lowes Foods</t>
        </is>
      </c>
      <c r="E180" s="2" t="inlineStr">
        <is>
          <t xml:space="preserve">Groceries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Retail – Dick's Sporting Goods</t>
        </is>
      </c>
      <c r="E183" s="2" t="inlineStr">
        <is>
          <t xml:space="preserve">Retail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CVS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Grocery – Lowes Foods</t>
        </is>
      </c>
      <c r="E186" s="2" t="inlineStr">
        <is>
          <t xml:space="preserve">Groceries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Retail – Belk (store card payments)</t>
        </is>
      </c>
      <c r="E187" s="2" t="inlineStr">
        <is>
          <t xml:space="preserve">Retail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– ESPN (Sept billed as Disney Plus)</t>
        </is>
      </c>
      <c r="E193" s="2" t="inlineStr">
        <is>
          <t xml:space="preserve">Streaming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Grocery – Lowes Foods</t>
        </is>
      </c>
      <c r="E194" s="2" t="inlineStr">
        <is>
          <t xml:space="preserve">Groceries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Student Loan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(Pest Control, Lawn Treatment)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Grocery – Lowes Foods</t>
        </is>
      </c>
      <c r="E206" s="2" t="inlineStr">
        <is>
          <t xml:space="preserve">Groceries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Grocery – Lowes Foods</t>
        </is>
      </c>
      <c r="E208" s="2" t="inlineStr">
        <is>
          <t xml:space="preserve">Groceries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Retail – Belk (store card payments)</t>
        </is>
      </c>
      <c r="E209" s="2" t="inlineStr">
        <is>
          <t xml:space="preserve">Retail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Payoff – American Express</t>
        </is>
      </c>
      <c r="E213" s="2" t="inlineStr">
        <is>
          <t xml:space="preserve">Excluded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Grocery – Publix</t>
        </is>
      </c>
      <c r="E216" s="2" t="inlineStr">
        <is>
          <t xml:space="preserve">Groceries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Grocery – Publix</t>
        </is>
      </c>
      <c r="E218" s="2" t="inlineStr">
        <is>
          <t xml:space="preserve">Groceries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Grocery – Lowes Foods</t>
        </is>
      </c>
      <c r="E220" s="2" t="inlineStr">
        <is>
          <t xml:space="preserve">Groceries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Grocery – Publix</t>
        </is>
      </c>
      <c r="E226" s="2" t="inlineStr">
        <is>
          <t xml:space="preserve">Groceries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CVS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Entertainment &amp; Events</t>
        </is>
      </c>
      <c r="E228" s="2" t="inlineStr">
        <is>
          <t xml:space="preserve">Recreation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Entertainment &amp; Events</t>
        </is>
      </c>
      <c r="E229" s="2" t="inlineStr">
        <is>
          <t xml:space="preserve">Recreation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Entertainment &amp; Events</t>
        </is>
      </c>
      <c r="E230" s="2" t="inlineStr">
        <is>
          <t xml:space="preserve">Recreation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Entertainment &amp; Events</t>
        </is>
      </c>
      <c r="E231" s="2" t="inlineStr">
        <is>
          <t xml:space="preserve">Recreation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Grocery – Food Lion</t>
        </is>
      </c>
      <c r="E234" s="2" t="inlineStr">
        <is>
          <t xml:space="preserve">Groceries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Phone &amp; Internet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– Peacock (via Roku)</t>
        </is>
      </c>
      <c r="E236" s="2" t="inlineStr">
        <is>
          <t xml:space="preserve">Streaming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Sloane Realty</t>
        </is>
      </c>
      <c r="E238" s="2" t="inlineStr">
        <is>
          <t xml:space="preserve">Excluded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– HBO Max</t>
        </is>
      </c>
      <c r="E240" s="2" t="inlineStr">
        <is>
          <t xml:space="preserve">Streaming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Dust and Mop House</t>
        </is>
      </c>
      <c r="E243" s="2" t="inlineStr">
        <is>
          <t xml:space="preserve">Excluded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Retail – Dollar Tree / Dollar General</t>
        </is>
      </c>
      <c r="E244" s="2" t="inlineStr">
        <is>
          <t xml:space="preserve">Retail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– Hulu</t>
        </is>
      </c>
      <c r="E252" s="2" t="inlineStr">
        <is>
          <t xml:space="preserve">Streaming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Grocery – Publix</t>
        </is>
      </c>
      <c r="E253" s="2" t="inlineStr">
        <is>
          <t xml:space="preserve">Groceries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Payoff – American Express</t>
        </is>
      </c>
      <c r="E254" s="2" t="inlineStr">
        <is>
          <t xml:space="preserve">Excluded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Haircuts – The Color Bar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Internet – Focus Broadband</t>
        </is>
      </c>
      <c r="E257" s="2" t="inlineStr">
        <is>
          <t xml:space="preserve">Phone &amp; Internet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– Dosher Hospital (Southport)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Yard Company (NextGen)</t>
        </is>
      </c>
      <c r="E261" s="2" t="inlineStr">
        <is>
          <t xml:space="preserve">Home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(Pest Control, Lawn Treatment)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– YouTube TV (Google)</t>
        </is>
      </c>
      <c r="E263" s="2" t="inlineStr">
        <is>
          <t xml:space="preserve">Streaming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Other Food Stores (Harris Teeter, Beach Pantry)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– Disney (via Roku)</t>
        </is>
      </c>
      <c r="E266" s="2" t="inlineStr">
        <is>
          <t xml:space="preserve">Streaming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CVS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Retail – Walmart</t>
        </is>
      </c>
      <c r="E278" s="2" t="inlineStr">
        <is>
          <t xml:space="preserve">Retail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Grocery – Publix</t>
        </is>
      </c>
      <c r="E284" s="2" t="inlineStr">
        <is>
          <t xml:space="preserve">Groceries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Grocery – Lowes Foods</t>
        </is>
      </c>
      <c r="E288" s="2" t="inlineStr">
        <is>
          <t xml:space="preserve">Groceries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Retail – Dollar Tree / Dollar General</t>
        </is>
      </c>
      <c r="E289" s="2" t="inlineStr">
        <is>
          <t xml:space="preserve">Retail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Retail – Hobby Lobby</t>
        </is>
      </c>
      <c r="E290" s="2" t="inlineStr">
        <is>
          <t xml:space="preserve">Retail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Grocery – Food Lion</t>
        </is>
      </c>
      <c r="E291" s="2" t="inlineStr">
        <is>
          <t xml:space="preserve">Groceries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Yard Company (NextGen)</t>
        </is>
      </c>
      <c r="E293" s="2" t="inlineStr">
        <is>
          <t xml:space="preserve">Home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– Frndly TV</t>
        </is>
      </c>
      <c r="E294" s="2" t="inlineStr">
        <is>
          <t xml:space="preserve">Streaming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Grocery – Publix</t>
        </is>
      </c>
      <c r="E295" s="2" t="inlineStr">
        <is>
          <t xml:space="preserve">Groceries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Dust and Mop House</t>
        </is>
      </c>
      <c r="E296" s="2" t="inlineStr">
        <is>
          <t xml:space="preserve">Excluded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Excluded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CVS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Grocery – Lowes Foods</t>
        </is>
      </c>
      <c r="E299" s="2" t="inlineStr">
        <is>
          <t xml:space="preserve">Groceries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WTW Health Premium (reimbursed by Via Benefits)</t>
        </is>
      </c>
      <c r="E301" s="2" t="inlineStr">
        <is>
          <t xml:space="preserve">Excluded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Retail – Lowe's (home improvement)</t>
        </is>
      </c>
      <c r="E303" s="2" t="inlineStr">
        <is>
          <t xml:space="preserve">Retail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Internet – Focus Broadband</t>
        </is>
      </c>
      <c r="E304" s="2" t="inlineStr">
        <is>
          <t xml:space="preserve">Phone &amp; Internet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&amp; Events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Retail – Walmart</t>
        </is>
      </c>
      <c r="E308" s="2" t="inlineStr">
        <is>
          <t xml:space="preserve">Retail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Grocery – Publix</t>
        </is>
      </c>
      <c r="E311" s="2" t="inlineStr">
        <is>
          <t xml:space="preserve">Groceries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Excluded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– ESPN (Sept billed as Disney Plus)</t>
        </is>
      </c>
      <c r="E316" s="2" t="inlineStr">
        <is>
          <t xml:space="preserve">Streaming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– Dosher Hospital (Southport)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Retail – HomeSense</t>
        </is>
      </c>
      <c r="E318" s="2" t="inlineStr">
        <is>
          <t xml:space="preserve">Retail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Retail – Dillard's</t>
        </is>
      </c>
      <c r="E319" s="2" t="inlineStr">
        <is>
          <t xml:space="preserve">Retail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Student Loan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Grocery – Lowes Foods</t>
        </is>
      </c>
      <c r="E324" s="2" t="inlineStr">
        <is>
          <t xml:space="preserve">Groceries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Retail – Hobby Lobby</t>
        </is>
      </c>
      <c r="E326" s="2" t="inlineStr">
        <is>
          <t xml:space="preserve">Retail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Grocery – Lowes Foods</t>
        </is>
      </c>
      <c r="E328" s="2" t="inlineStr">
        <is>
          <t xml:space="preserve">Groceries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Yard Company (NextGen)</t>
        </is>
      </c>
      <c r="E332" s="2" t="inlineStr">
        <is>
          <t xml:space="preserve">Home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Retail – Tractor Supply</t>
        </is>
      </c>
      <c r="E333" s="2" t="inlineStr">
        <is>
          <t xml:space="preserve">Retail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Grocery – Lowes Foods</t>
        </is>
      </c>
      <c r="E334" s="2" t="inlineStr">
        <is>
          <t xml:space="preserve">Groceries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Excluded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CVS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Payoff – American Express</t>
        </is>
      </c>
      <c r="E338" s="2" t="inlineStr">
        <is>
          <t xml:space="preserve">Excluded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Haircuts – The Color Bar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Retail – Walmart</t>
        </is>
      </c>
      <c r="E341" s="2" t="inlineStr">
        <is>
          <t xml:space="preserve">Retail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Grocery – Lowes Foods</t>
        </is>
      </c>
      <c r="E345" s="2" t="inlineStr">
        <is>
          <t xml:space="preserve">Groceries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Grocery – Lowes Foods</t>
        </is>
      </c>
      <c r="E346" s="2" t="inlineStr">
        <is>
          <t xml:space="preserve">Groceries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Phone &amp; Internet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Retail – Dillard's</t>
        </is>
      </c>
      <c r="E349" s="2" t="inlineStr">
        <is>
          <t xml:space="preserve">Retail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Grocery – Lowes Foods</t>
        </is>
      </c>
      <c r="E350" s="2" t="inlineStr">
        <is>
          <t xml:space="preserve">Groceries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Retail – Cat on a Whisk</t>
        </is>
      </c>
      <c r="E353" s="2" t="inlineStr">
        <is>
          <t xml:space="preserve">Retail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– Wilmington Eye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– YouTube TV (Google)</t>
        </is>
      </c>
      <c r="E357" s="2" t="inlineStr">
        <is>
          <t xml:space="preserve">Streaming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– Disney (via Roku)</t>
        </is>
      </c>
      <c r="E358" s="2" t="inlineStr">
        <is>
          <t xml:space="preserve">Streaming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Retail – Walmart</t>
        </is>
      </c>
      <c r="E359" s="2" t="inlineStr">
        <is>
          <t xml:space="preserve">Retail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Grocery – Lowes Foods</t>
        </is>
      </c>
      <c r="E361" s="2" t="inlineStr">
        <is>
          <t xml:space="preserve">Groceries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Grocery – Publix</t>
        </is>
      </c>
      <c r="E364" s="2" t="inlineStr">
        <is>
          <t xml:space="preserve">Groceries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Yard Company (NextGen)</t>
        </is>
      </c>
      <c r="E365" s="2" t="inlineStr">
        <is>
          <t xml:space="preserve">Home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Grocery – Lowes Foods</t>
        </is>
      </c>
      <c r="E366" s="2" t="inlineStr">
        <is>
          <t xml:space="preserve">Groceries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Grocery – Lowes Foods</t>
        </is>
      </c>
      <c r="E367" s="2" t="inlineStr">
        <is>
          <t xml:space="preserve">Groceries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– Simple Beauty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Grocery – Lowes Foods</t>
        </is>
      </c>
      <c r="E375" s="2" t="inlineStr">
        <is>
          <t xml:space="preserve">Groceries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Haircuts – The Color Bar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– Frndly TV</t>
        </is>
      </c>
      <c r="E378" s="2" t="inlineStr">
        <is>
          <t xml:space="preserve">Streaming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Retail – Local shops (Hippie Chick, Southport Spices, Mad River, Coastal Carolina)</t>
        </is>
      </c>
      <c r="E379" s="2" t="inlineStr">
        <is>
          <t xml:space="preserve">Retail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Retail – Local shops (Hippie Chick, Southport Spices, Mad River, Coastal Carolina)</t>
        </is>
      </c>
      <c r="E380" s="2" t="inlineStr">
        <is>
          <t xml:space="preserve">Retail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Grocery – Publix</t>
        </is>
      </c>
      <c r="E382" s="2" t="inlineStr">
        <is>
          <t xml:space="preserve">Groceries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Grocery – Lowes Foods</t>
        </is>
      </c>
      <c r="E387" s="2" t="inlineStr">
        <is>
          <t xml:space="preserve">Groceries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WTW Health Premium (reimbursed by Via Benefits)</t>
        </is>
      </c>
      <c r="E388" s="2" t="inlineStr">
        <is>
          <t xml:space="preserve">Excluded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– Dosher Hospital (Southport)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Internet – Focus Broadband</t>
        </is>
      </c>
      <c r="E393" s="2" t="inlineStr">
        <is>
          <t xml:space="preserve">Phone &amp; Internet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Retail – Lowe's (home improvement)</t>
        </is>
      </c>
      <c r="E394" s="2" t="inlineStr">
        <is>
          <t xml:space="preserve">Retail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– ESPN (Sept billed as Disney Plus)</t>
        </is>
      </c>
      <c r="E398" s="2" t="inlineStr">
        <is>
          <t xml:space="preserve">Streaming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– YouTube TV (Google)</t>
        </is>
      </c>
      <c r="E399" s="2" t="inlineStr">
        <is>
          <t xml:space="preserve">Streaming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Grocery – Lowes Foods</t>
        </is>
      </c>
      <c r="E402" s="2" t="inlineStr">
        <is>
          <t xml:space="preserve">Groceries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Student Loan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Medical – Duke Hospital (Durham, food &amp; parking)</t>
        </is>
      </c>
      <c r="E404" s="2" t="inlineStr">
        <is>
          <t xml:space="preserve">Health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Yard Company (NextGen)</t>
        </is>
      </c>
      <c r="E405" s="2" t="inlineStr">
        <is>
          <t xml:space="preserve">Home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Medical – Duke Hospital (Durham, food &amp; parking)</t>
        </is>
      </c>
      <c r="E406" s="2" t="inlineStr">
        <is>
          <t xml:space="preserve">Health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Retail – Marshalls</t>
        </is>
      </c>
      <c r="E410" s="2" t="inlineStr">
        <is>
          <t xml:space="preserve">Retail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Retail – Hobby Lobby</t>
        </is>
      </c>
      <c r="E411" s="2" t="inlineStr">
        <is>
          <t xml:space="preserve">Retail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Retail – Ross</t>
        </is>
      </c>
      <c r="E416" s="2" t="inlineStr">
        <is>
          <t xml:space="preserve">Retail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Grocery – Publix</t>
        </is>
      </c>
      <c r="E424" s="2" t="inlineStr">
        <is>
          <t xml:space="preserve">Groceries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Phone &amp; Internet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Payoff – American Express</t>
        </is>
      </c>
      <c r="E427" s="2" t="inlineStr">
        <is>
          <t xml:space="preserve">Excluded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Retail – Local shops (Hippie Chick, Southport Spices, Mad River, Coastal Carolina)</t>
        </is>
      </c>
      <c r="E428" s="2" t="inlineStr">
        <is>
          <t xml:space="preserve">Retail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Grocery – Publix</t>
        </is>
      </c>
      <c r="E433" s="2" t="inlineStr">
        <is>
          <t xml:space="preserve">Groceries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All withdrawals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