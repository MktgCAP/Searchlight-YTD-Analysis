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ummary" sheetId="1" r:id="rId1"/>
    <sheet name="June 2026" sheetId="2" r:id="rId2"/>
    <sheet name="July 2026" sheetId="3" r:id="rId3"/>
    <sheet name="August 2026" sheetId="4" r:id="rId4"/>
    <sheet name="September 2026" sheetId="5" r:id="rId5"/>
    <sheet name="All Transactions" sheetId="6" r:id="rId6"/>
  </sheets>
  <definedNames>
    <definedName name="_xlnm._FilterDatabase" localSheetId="1" hidden="1">'June 2026'!$A$3:$E$119</definedName>
    <definedName name="_xlnm._FilterDatabase" localSheetId="2" hidden="1">'July 2026'!$A$3:$E$127</definedName>
    <definedName name="_xlnm._FilterDatabase" localSheetId="3" hidden="1">'August 2026'!$A$3:$E$110</definedName>
    <definedName name="_xlnm._FilterDatabase" localSheetId="4" hidden="1">'September 2026'!$A$3:$E$88</definedName>
    <definedName name="_xlnm._FilterDatabase" localSheetId="5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173.24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F10/4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387.61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7" t="inlineStr">
        <is>
          <t xml:space="preserve">Total Insurance</t>
        </is>
      </c>
      <c r="B18" s="6">
        <f>SUM(B13:B17)</f>
        <v>1435.3</v>
      </c>
      <c r="C18" s="6">
        <f>SUM(C13:C17)</f>
        <v>1213.45</v>
      </c>
      <c r="D18" s="6">
        <f>SUM(D13:D17)</f>
        <v>1760.95</v>
      </c>
      <c r="E18" s="6">
        <f>SUM(E13:E17)</f>
        <v>1423.45</v>
      </c>
      <c r="F18" s="6">
        <f>SUM(F13:F17)</f>
        <v>5833.15</v>
      </c>
      <c r="G18" s="6">
        <f>F18/4</f>
        <v>1458.29</v>
      </c>
    </row>
    <row r="20">
      <c r="A20" s="5" t="inlineStr">
        <is>
          <t xml:space="preserve">Utilities</t>
        </is>
      </c>
    </row>
    <row r="21">
      <c r="A21" s="12" t="inlineStr">
        <is>
          <t xml:space="preserve">Utility – Electric (BEMC)</t>
        </is>
      </c>
      <c r="B21" s="3">
        <f>SUMIFS('All Transactions'!$F$5:$F$436,'All Transactions'!$D$5:$D$436,$A21,'All Transactions'!$A$5:$A$436,B$4)</f>
        <v>0</v>
      </c>
      <c r="C21" s="3">
        <f>SUMIFS('All Transactions'!$F$5:$F$436,'All Transactions'!$D$5:$D$436,$A21,'All Transactions'!$A$5:$A$436,C$4)</f>
        <v>336.35</v>
      </c>
      <c r="D21" s="3">
        <f>SUMIFS('All Transactions'!$F$5:$F$436,'All Transactions'!$D$5:$D$436,$A21,'All Transactions'!$A$5:$A$436,D$4)</f>
        <v>406.96</v>
      </c>
      <c r="E21" s="3">
        <f>SUMIFS('All Transactions'!$F$5:$F$436,'All Transactions'!$D$5:$D$436,$A21,'All Transactions'!$A$5:$A$436,E$4)</f>
        <v>419.66</v>
      </c>
      <c r="F21" s="3">
        <f>SUM(B21:E21)</f>
        <v>1162.97</v>
      </c>
      <c r="G21" s="3">
        <f>F21/4</f>
        <v>290.74</v>
      </c>
    </row>
    <row r="22">
      <c r="A22" s="12" t="inlineStr">
        <is>
          <t xml:space="preserve">Utility – Water/Sewer (Brunswick County)</t>
        </is>
      </c>
      <c r="B22" s="3">
        <f>SUMIFS('All Transactions'!$F$5:$F$436,'All Transactions'!$D$5:$D$436,$A22,'All Transactions'!$A$5:$A$436,B$4)</f>
        <v>78.84</v>
      </c>
      <c r="C22" s="3">
        <f>SUMIFS('All Transactions'!$F$5:$F$436,'All Transactions'!$D$5:$D$436,$A22,'All Transactions'!$A$5:$A$436,C$4)</f>
        <v>0</v>
      </c>
      <c r="D22" s="3">
        <f>SUMIFS('All Transactions'!$F$5:$F$436,'All Transactions'!$D$5:$D$436,$A22,'All Transactions'!$A$5:$A$436,D$4)</f>
        <v>179.33</v>
      </c>
      <c r="E22" s="3">
        <f>SUMIFS('All Transactions'!$F$5:$F$436,'All Transactions'!$D$5:$D$436,$A22,'All Transactions'!$A$5:$A$436,E$4)</f>
        <v>84.26</v>
      </c>
      <c r="F22" s="3">
        <f>SUM(B22:E22)</f>
        <v>342.43</v>
      </c>
      <c r="G22" s="3">
        <f>F22/4</f>
        <v>85.61</v>
      </c>
    </row>
    <row r="23">
      <c r="A23" s="7" t="inlineStr">
        <is>
          <t xml:space="preserve">Total Utilities</t>
        </is>
      </c>
      <c r="B23" s="6">
        <f>SUM(B21:B22)</f>
        <v>78.84</v>
      </c>
      <c r="C23" s="6">
        <f>SUM(C21:C22)</f>
        <v>336.35</v>
      </c>
      <c r="D23" s="6">
        <f>SUM(D21:D22)</f>
        <v>586.29</v>
      </c>
      <c r="E23" s="6">
        <f>SUM(E21:E22)</f>
        <v>503.92</v>
      </c>
      <c r="F23" s="6">
        <f>SUM(F21:F22)</f>
        <v>1505.4</v>
      </c>
      <c r="G23" s="6">
        <f>F23/4</f>
        <v>376.35</v>
      </c>
    </row>
    <row r="25">
      <c r="A25" s="5" t="inlineStr">
        <is>
          <t xml:space="preserve">Phone &amp; Internet</t>
        </is>
      </c>
    </row>
    <row r="26">
      <c r="A26" s="12" t="inlineStr">
        <is>
          <t xml:space="preserve">Internet – Focus Broadband</t>
        </is>
      </c>
      <c r="B26" s="3">
        <f>SUMIFS('All Transactions'!$F$5:$F$436,'All Transactions'!$D$5:$D$436,$A26,'All Transactions'!$A$5:$A$436,B$4)</f>
        <v>80.79</v>
      </c>
      <c r="C26" s="3">
        <f>SUMIFS('All Transactions'!$F$5:$F$436,'All Transactions'!$D$5:$D$436,$A26,'All Transactions'!$A$5:$A$436,C$4)</f>
        <v>0</v>
      </c>
      <c r="D26" s="3">
        <f>SUMIFS('All Transactions'!$F$5:$F$436,'All Transactions'!$D$5:$D$436,$A26,'All Transactions'!$A$5:$A$436,D$4)</f>
        <v>161.58</v>
      </c>
      <c r="E26" s="3">
        <f>SUMIFS('All Transactions'!$F$5:$F$436,'All Transactions'!$D$5:$D$436,$A26,'All Transactions'!$A$5:$A$436,E$4)</f>
        <v>80.79</v>
      </c>
      <c r="F26" s="3">
        <f>SUM(B26:E26)</f>
        <v>323.16</v>
      </c>
      <c r="G26" s="3">
        <f>F26/4</f>
        <v>80.79</v>
      </c>
    </row>
    <row r="27">
      <c r="A27" s="12" t="inlineStr">
        <is>
          <t xml:space="preserve">Verizon Wireless</t>
        </is>
      </c>
      <c r="B27" s="3">
        <f>SUMIFS('All Transactions'!$F$5:$F$436,'All Transactions'!$D$5:$D$436,$A27,'All Transactions'!$A$5:$A$436,B$4)</f>
        <v>294.57</v>
      </c>
      <c r="C27" s="3">
        <f>SUMIFS('All Transactions'!$F$5:$F$436,'All Transactions'!$D$5:$D$436,$A27,'All Transactions'!$A$5:$A$436,C$4)</f>
        <v>294.8</v>
      </c>
      <c r="D27" s="3">
        <f>SUMIFS('All Transactions'!$F$5:$F$436,'All Transactions'!$D$5:$D$436,$A27,'All Transactions'!$A$5:$A$436,D$4)</f>
        <v>436.02</v>
      </c>
      <c r="E27" s="3">
        <f>SUMIFS('All Transactions'!$F$5:$F$436,'All Transactions'!$D$5:$D$436,$A27,'All Transactions'!$A$5:$A$436,E$4)</f>
        <v>386.85</v>
      </c>
      <c r="F27" s="3">
        <f>SUM(B27:E27)</f>
        <v>1412.24</v>
      </c>
      <c r="G27" s="3">
        <f>F27/4</f>
        <v>353.06</v>
      </c>
    </row>
    <row r="28">
      <c r="A28" s="7" t="inlineStr">
        <is>
          <t xml:space="preserve">Total Phone &amp; Internet</t>
        </is>
      </c>
      <c r="B28" s="6">
        <f>SUM(B26:B27)</f>
        <v>375.36</v>
      </c>
      <c r="C28" s="6">
        <f>SUM(C26:C27)</f>
        <v>294.8</v>
      </c>
      <c r="D28" s="6">
        <f>SUM(D26:D27)</f>
        <v>597.6</v>
      </c>
      <c r="E28" s="6">
        <f>SUM(E26:E27)</f>
        <v>467.64</v>
      </c>
      <c r="F28" s="6">
        <f>SUM(F26:F27)</f>
        <v>1735.4</v>
      </c>
      <c r="G28" s="6">
        <f>F28/4</f>
        <v>433.85</v>
      </c>
    </row>
    <row r="30">
      <c r="A30" s="5" t="inlineStr">
        <is>
          <t xml:space="preserve">Debt Payments</t>
        </is>
      </c>
    </row>
    <row r="31">
      <c r="A31" s="12" t="inlineStr">
        <is>
          <t xml:space="preserve">Student Loan (Dept of Education)</t>
        </is>
      </c>
      <c r="B31" s="3">
        <f>SUMIFS('All Transactions'!$F$5:$F$436,'All Transactions'!$D$5:$D$436,$A31,'All Transactions'!$A$5:$A$436,B$4)</f>
        <v>160.37</v>
      </c>
      <c r="C31" s="3">
        <f>SUMIFS('All Transactions'!$F$5:$F$436,'All Transactions'!$D$5:$D$436,$A31,'All Transactions'!$A$5:$A$436,C$4)</f>
        <v>160.37</v>
      </c>
      <c r="D31" s="3">
        <f>SUMIFS('All Transactions'!$F$5:$F$436,'All Transactions'!$D$5:$D$436,$A31,'All Transactions'!$A$5:$A$436,D$4)</f>
        <v>160.37</v>
      </c>
      <c r="E31" s="3">
        <f>SUMIFS('All Transactions'!$F$5:$F$436,'All Transactions'!$D$5:$D$436,$A31,'All Transactions'!$A$5:$A$436,E$4)</f>
        <v>160.37</v>
      </c>
      <c r="F31" s="3">
        <f>SUM(B31:E31)</f>
        <v>641.48</v>
      </c>
      <c r="G31" s="3">
        <f>F31/4</f>
        <v>160.37</v>
      </c>
    </row>
    <row r="32">
      <c r="A32" s="7" t="inlineStr">
        <is>
          <t xml:space="preserve">Total Debt Payments</t>
        </is>
      </c>
      <c r="B32" s="6">
        <f>SUM(B31:B31)</f>
        <v>160.37</v>
      </c>
      <c r="C32" s="6">
        <f>SUM(C31:C31)</f>
        <v>160.37</v>
      </c>
      <c r="D32" s="6">
        <f>SUM(D31:D31)</f>
        <v>160.37</v>
      </c>
      <c r="E32" s="6">
        <f>SUM(E31:E31)</f>
        <v>160.37</v>
      </c>
      <c r="F32" s="6">
        <f>SUM(F31:F31)</f>
        <v>641.48</v>
      </c>
      <c r="G32" s="6">
        <f>F32/4</f>
        <v>160.37</v>
      </c>
    </row>
    <row r="34">
      <c r="A34" s="5" t="inlineStr">
        <is>
          <t xml:space="preserve">Food</t>
        </is>
      </c>
    </row>
    <row r="35">
      <c r="A35" s="12" t="inlineStr">
        <is>
          <t xml:space="preserve">Groceries</t>
        </is>
      </c>
      <c r="B35" s="3">
        <f>SUMIFS('All Transactions'!$F$5:$F$436,'All Transactions'!$D$5:$D$436,$A35,'All Transactions'!$A$5:$A$436,B$4)</f>
        <v>1529.75</v>
      </c>
      <c r="C35" s="3">
        <f>SUMIFS('All Transactions'!$F$5:$F$436,'All Transactions'!$D$5:$D$436,$A35,'All Transactions'!$A$5:$A$436,C$4)</f>
        <v>1279.24</v>
      </c>
      <c r="D35" s="3">
        <f>SUMIFS('All Transactions'!$F$5:$F$436,'All Transactions'!$D$5:$D$436,$A35,'All Transactions'!$A$5:$A$436,D$4)</f>
        <v>1190.12</v>
      </c>
      <c r="E35" s="3">
        <f>SUMIFS('All Transactions'!$F$5:$F$436,'All Transactions'!$D$5:$D$436,$A35,'All Transactions'!$A$5:$A$436,E$4)</f>
        <v>1202.5</v>
      </c>
      <c r="F35" s="3">
        <f>SUM(B35:E35)</f>
        <v>5201.61</v>
      </c>
      <c r="G35" s="3">
        <f>F35/4</f>
        <v>1300.4</v>
      </c>
    </row>
    <row r="36">
      <c r="A36" s="12" t="inlineStr">
        <is>
          <t xml:space="preserve">Restaurants &amp; Takeout</t>
        </is>
      </c>
      <c r="B36" s="3">
        <f>SUMIFS('All Transactions'!$F$5:$F$436,'All Transactions'!$D$5:$D$436,$A36,'All Transactions'!$A$5:$A$436,B$4)</f>
        <v>1019.45</v>
      </c>
      <c r="C36" s="3">
        <f>SUMIFS('All Transactions'!$F$5:$F$436,'All Transactions'!$D$5:$D$436,$A36,'All Transactions'!$A$5:$A$436,C$4)</f>
        <v>935.1</v>
      </c>
      <c r="D36" s="3">
        <f>SUMIFS('All Transactions'!$F$5:$F$436,'All Transactions'!$D$5:$D$436,$A36,'All Transactions'!$A$5:$A$436,D$4)</f>
        <v>962.62</v>
      </c>
      <c r="E36" s="3">
        <f>SUMIFS('All Transactions'!$F$5:$F$436,'All Transactions'!$D$5:$D$436,$A36,'All Transactions'!$A$5:$A$436,E$4)</f>
        <v>872.56</v>
      </c>
      <c r="F36" s="3">
        <f>SUM(B36:E36)</f>
        <v>3789.73</v>
      </c>
      <c r="G36" s="3">
        <f>F36/4</f>
        <v>947.43</v>
      </c>
    </row>
    <row r="37">
      <c r="A37" s="7" t="inlineStr">
        <is>
          <t xml:space="preserve">Total Food</t>
        </is>
      </c>
      <c r="B37" s="6">
        <f>SUM(B35:B36)</f>
        <v>2549.2</v>
      </c>
      <c r="C37" s="6">
        <f>SUM(C35:C36)</f>
        <v>2214.34</v>
      </c>
      <c r="D37" s="6">
        <f>SUM(D35:D36)</f>
        <v>2152.74</v>
      </c>
      <c r="E37" s="6">
        <f>SUM(E35:E36)</f>
        <v>2075.06</v>
      </c>
      <c r="F37" s="6">
        <f>SUM(F35:F36)</f>
        <v>8991.34</v>
      </c>
      <c r="G37" s="6">
        <f>F37/4</f>
        <v>2247.83</v>
      </c>
    </row>
    <row r="39">
      <c r="A39" s="5" t="inlineStr">
        <is>
          <t xml:space="preserve">Transportation</t>
        </is>
      </c>
    </row>
    <row r="40">
      <c r="A40" s="12" t="inlineStr">
        <is>
          <t xml:space="preserve">Gas &amp; Convenience Stores</t>
        </is>
      </c>
      <c r="B40" s="3">
        <f>SUMIFS('All Transactions'!$F$5:$F$436,'All Transactions'!$D$5:$D$436,$A40,'All Transactions'!$A$5:$A$436,B$4)</f>
        <v>108.9</v>
      </c>
      <c r="C40" s="3">
        <f>SUMIFS('All Transactions'!$F$5:$F$436,'All Transactions'!$D$5:$D$436,$A40,'All Transactions'!$A$5:$A$436,C$4)</f>
        <v>277.87</v>
      </c>
      <c r="D40" s="3">
        <f>SUMIFS('All Transactions'!$F$5:$F$436,'All Transactions'!$D$5:$D$436,$A40,'All Transactions'!$A$5:$A$436,D$4)</f>
        <v>167.24</v>
      </c>
      <c r="E40" s="3">
        <f>SUMIFS('All Transactions'!$F$5:$F$436,'All Transactions'!$D$5:$D$436,$A40,'All Transactions'!$A$5:$A$436,E$4)</f>
        <v>238.98</v>
      </c>
      <c r="F40" s="3">
        <f>SUM(B40:E40)</f>
        <v>792.99</v>
      </c>
      <c r="G40" s="3">
        <f>F40/4</f>
        <v>198.25</v>
      </c>
    </row>
    <row r="41">
      <c r="A41" s="12" t="inlineStr">
        <is>
          <t xml:space="preserve">Tolls &amp; Parking</t>
        </is>
      </c>
      <c r="B41" s="3">
        <f>SUMIFS('All Transactions'!$F$5:$F$436,'All Transactions'!$D$5:$D$436,$A41,'All Transactions'!$A$5:$A$436,B$4)</f>
        <v>5.84</v>
      </c>
      <c r="C41" s="3">
        <f>SUMIFS('All Transactions'!$F$5:$F$436,'All Transactions'!$D$5:$D$436,$A41,'All Transactions'!$A$5:$A$436,C$4)</f>
        <v>0</v>
      </c>
      <c r="D41" s="3">
        <f>SUMIFS('All Transactions'!$F$5:$F$436,'All Transactions'!$D$5:$D$436,$A41,'All Transactions'!$A$5:$A$436,D$4)</f>
        <v>18.44</v>
      </c>
      <c r="E41" s="3">
        <f>SUMIFS('All Transactions'!$F$5:$F$436,'All Transactions'!$D$5:$D$436,$A41,'All Transactions'!$A$5:$A$436,E$4)</f>
        <v>74.24</v>
      </c>
      <c r="F41" s="3">
        <f>SUM(B41:E41)</f>
        <v>98.52</v>
      </c>
      <c r="G41" s="3">
        <f>F41/4</f>
        <v>24.63</v>
      </c>
    </row>
    <row r="42">
      <c r="A42" s="7" t="inlineStr">
        <is>
          <t xml:space="preserve">Total Transportation</t>
        </is>
      </c>
      <c r="B42" s="6">
        <f>SUM(B40:B41)</f>
        <v>114.74</v>
      </c>
      <c r="C42" s="6">
        <f>SUM(C40:C41)</f>
        <v>277.87</v>
      </c>
      <c r="D42" s="6">
        <f>SUM(D40:D41)</f>
        <v>185.68</v>
      </c>
      <c r="E42" s="6">
        <f>SUM(E40:E41)</f>
        <v>313.22</v>
      </c>
      <c r="F42" s="6">
        <f>SUM(F40:F41)</f>
        <v>891.51</v>
      </c>
      <c r="G42" s="6">
        <f>F42/4</f>
        <v>222.88</v>
      </c>
    </row>
    <row r="44">
      <c r="A44" s="5" t="inlineStr">
        <is>
          <t xml:space="preserve">Streaming</t>
        </is>
      </c>
    </row>
    <row r="45">
      <c r="A45" s="12" t="inlineStr">
        <is>
          <t xml:space="preserve">Streaming – YouTube TV (Google)</t>
        </is>
      </c>
      <c r="B45" s="3">
        <f>SUMIFS('All Transactions'!$F$5:$F$436,'All Transactions'!$D$5:$D$436,$A45,'All Transactions'!$A$5:$A$436,B$4)</f>
        <v>100.78</v>
      </c>
      <c r="C45" s="3">
        <f>SUMIFS('All Transactions'!$F$5:$F$436,'All Transactions'!$D$5:$D$436,$A45,'All Transactions'!$A$5:$A$436,C$4)</f>
        <v>100.78</v>
      </c>
      <c r="D45" s="3">
        <f>SUMIFS('All Transactions'!$F$5:$F$436,'All Transactions'!$D$5:$D$436,$A45,'All Transactions'!$A$5:$A$436,D$4)</f>
        <v>89.0</v>
      </c>
      <c r="E45" s="3">
        <f>SUMIFS('All Transactions'!$F$5:$F$436,'All Transactions'!$D$5:$D$436,$A45,'All Transactions'!$A$5:$A$436,E$4)</f>
        <v>132.43</v>
      </c>
      <c r="F45" s="3">
        <f>SUM(B45:E45)</f>
        <v>422.99</v>
      </c>
      <c r="G45" s="3">
        <f>F45/4</f>
        <v>105.75</v>
      </c>
    </row>
    <row r="46">
      <c r="A46" s="12" t="inlineStr">
        <is>
          <t xml:space="preserve">Streaming – ESPN (Sept billed as Disney Plus)</t>
        </is>
      </c>
      <c r="B46" s="3">
        <f>SUMIFS('All Transactions'!$F$5:$F$436,'All Transactions'!$D$5:$D$436,$A46,'All Transactions'!$A$5:$A$436,B$4)</f>
        <v>13.87</v>
      </c>
      <c r="C46" s="3">
        <f>SUMIFS('All Transactions'!$F$5:$F$436,'All Transactions'!$D$5:$D$436,$A46,'All Transactions'!$A$5:$A$436,C$4)</f>
        <v>13.87</v>
      </c>
      <c r="D46" s="3">
        <f>SUMIFS('All Transactions'!$F$5:$F$436,'All Transactions'!$D$5:$D$436,$A46,'All Transactions'!$A$5:$A$436,D$4)</f>
        <v>13.87</v>
      </c>
      <c r="E46" s="3">
        <f>SUMIFS('All Transactions'!$F$5:$F$436,'All Transactions'!$D$5:$D$436,$A46,'All Transactions'!$A$5:$A$436,E$4)</f>
        <v>13.87</v>
      </c>
      <c r="F46" s="3">
        <f>SUM(B46:E46)</f>
        <v>55.48</v>
      </c>
      <c r="G46" s="3">
        <f>F46/4</f>
        <v>13.87</v>
      </c>
    </row>
    <row r="47">
      <c r="A47" s="12" t="inlineStr">
        <is>
          <t xml:space="preserve">Streaming – Disney (via Roku)</t>
        </is>
      </c>
      <c r="B47" s="3">
        <f>SUMIFS('All Transactions'!$F$5:$F$436,'All Transactions'!$D$5:$D$436,$A47,'All Transactions'!$A$5:$A$436,B$4)</f>
        <v>20.27</v>
      </c>
      <c r="C47" s="3">
        <f>SUMIFS('All Transactions'!$F$5:$F$436,'All Transactions'!$D$5:$D$436,$A47,'All Transactions'!$A$5:$A$436,C$4)</f>
        <v>20.27</v>
      </c>
      <c r="D47" s="3">
        <f>SUMIFS('All Transactions'!$F$5:$F$436,'All Transactions'!$D$5:$D$436,$A47,'All Transactions'!$A$5:$A$436,D$4)</f>
        <v>20.27</v>
      </c>
      <c r="E47" s="3">
        <f>SUMIFS('All Transactions'!$F$5:$F$436,'All Transactions'!$D$5:$D$436,$A47,'All Transactions'!$A$5:$A$436,E$4)</f>
        <v>20.27</v>
      </c>
      <c r="F47" s="3">
        <f>SUM(B47:E47)</f>
        <v>81.08</v>
      </c>
      <c r="G47" s="3">
        <f>F47/4</f>
        <v>20.27</v>
      </c>
    </row>
    <row r="48">
      <c r="A48" s="12" t="inlineStr">
        <is>
          <t xml:space="preserve">Streaming – HBO Max</t>
        </is>
      </c>
      <c r="B48" s="3">
        <f>SUMIFS('All Transactions'!$F$5:$F$436,'All Transactions'!$D$5:$D$436,$A48,'All Transactions'!$A$5:$A$436,B$4)</f>
        <v>19.74</v>
      </c>
      <c r="C48" s="3">
        <f>SUMIFS('All Transactions'!$F$5:$F$436,'All Transactions'!$D$5:$D$436,$A48,'All Transactions'!$A$5:$A$436,C$4)</f>
        <v>19.74</v>
      </c>
      <c r="D48" s="3">
        <f>SUMIFS('All Transactions'!$F$5:$F$436,'All Transactions'!$D$5:$D$436,$A48,'All Transactions'!$A$5:$A$436,D$4)</f>
        <v>0</v>
      </c>
      <c r="E48" s="3">
        <f>SUMIFS('All Transactions'!$F$5:$F$436,'All Transactions'!$D$5:$D$436,$A48,'All Transactions'!$A$5:$A$436,E$4)</f>
        <v>0</v>
      </c>
      <c r="F48" s="3">
        <f>SUM(B48:E48)</f>
        <v>39.48</v>
      </c>
      <c r="G48" s="3">
        <f>F48/4</f>
        <v>9.87</v>
      </c>
    </row>
    <row r="49">
      <c r="A49" s="12" t="inlineStr">
        <is>
          <t xml:space="preserve">Streaming – Hulu</t>
        </is>
      </c>
      <c r="B49" s="3">
        <f>SUMIFS('All Transactions'!$F$5:$F$436,'All Transactions'!$D$5:$D$436,$A49,'All Transactions'!$A$5:$A$436,B$4)</f>
        <v>0</v>
      </c>
      <c r="C49" s="3">
        <f>SUMIFS('All Transactions'!$F$5:$F$436,'All Transactions'!$D$5:$D$436,$A49,'All Transactions'!$A$5:$A$436,C$4)</f>
        <v>12.8</v>
      </c>
      <c r="D49" s="3">
        <f>SUMIFS('All Transactions'!$F$5:$F$436,'All Transactions'!$D$5:$D$436,$A49,'All Transactions'!$A$5:$A$436,D$4)</f>
        <v>12.8</v>
      </c>
      <c r="E49" s="3">
        <f>SUMIFS('All Transactions'!$F$5:$F$436,'All Transactions'!$D$5:$D$436,$A49,'All Transactions'!$A$5:$A$436,E$4)</f>
        <v>0</v>
      </c>
      <c r="F49" s="3">
        <f>SUM(B49:E49)</f>
        <v>25.6</v>
      </c>
      <c r="G49" s="3">
        <f>F49/4</f>
        <v>6.4</v>
      </c>
    </row>
    <row r="50">
      <c r="A50" s="12" t="inlineStr">
        <is>
          <t xml:space="preserve">Streaming – Peacock (via Roku)</t>
        </is>
      </c>
      <c r="B50" s="3">
        <f>SUMIFS('All Transactions'!$F$5:$F$436,'All Transactions'!$D$5:$D$436,$A50,'All Transactions'!$A$5:$A$436,B$4)</f>
        <v>11.73</v>
      </c>
      <c r="C50" s="3">
        <f>SUMIFS('All Transactions'!$F$5:$F$436,'All Transactions'!$D$5:$D$436,$A50,'All Transactions'!$A$5:$A$436,C$4)</f>
        <v>11.73</v>
      </c>
      <c r="D50" s="3">
        <f>SUMIFS('All Transactions'!$F$5:$F$436,'All Transactions'!$D$5:$D$436,$A50,'All Transactions'!$A$5:$A$436,D$4)</f>
        <v>0</v>
      </c>
      <c r="E50" s="3">
        <f>SUMIFS('All Transactions'!$F$5:$F$436,'All Transactions'!$D$5:$D$436,$A50,'All Transactions'!$A$5:$A$436,E$4)</f>
        <v>0</v>
      </c>
      <c r="F50" s="3">
        <f>SUM(B50:E50)</f>
        <v>23.46</v>
      </c>
      <c r="G50" s="3">
        <f>F50/4</f>
        <v>5.87</v>
      </c>
    </row>
    <row r="51">
      <c r="A51" s="12" t="inlineStr">
        <is>
          <t xml:space="preserve">Streaming – Frndly TV</t>
        </is>
      </c>
      <c r="B51" s="3">
        <f>SUMIFS('All Transactions'!$F$5:$F$436,'All Transactions'!$D$5:$D$436,$A51,'All Transactions'!$A$5:$A$436,B$4)</f>
        <v>22.41</v>
      </c>
      <c r="C51" s="3">
        <f>SUMIFS('All Transactions'!$F$5:$F$436,'All Transactions'!$D$5:$D$436,$A51,'All Transactions'!$A$5:$A$436,C$4)</f>
        <v>22.41</v>
      </c>
      <c r="D51" s="3">
        <f>SUMIFS('All Transactions'!$F$5:$F$436,'All Transactions'!$D$5:$D$436,$A51,'All Transactions'!$A$5:$A$436,D$4)</f>
        <v>22.41</v>
      </c>
      <c r="E51" s="3">
        <f>SUMIFS('All Transactions'!$F$5:$F$436,'All Transactions'!$D$5:$D$436,$A51,'All Transactions'!$A$5:$A$436,E$4)</f>
        <v>22.41</v>
      </c>
      <c r="F51" s="3">
        <f>SUM(B51:E51)</f>
        <v>89.64</v>
      </c>
      <c r="G51" s="3">
        <f>F51/4</f>
        <v>22.41</v>
      </c>
    </row>
    <row r="52">
      <c r="A52" s="12" t="inlineStr">
        <is>
          <t xml:space="preserve">Streaming – Netflix</t>
        </is>
      </c>
      <c r="B52" s="3">
        <f>SUMIFS('All Transactions'!$F$5:$F$436,'All Transactions'!$D$5:$D$436,$A52,'All Transactions'!$A$5:$A$436,B$4)</f>
        <v>0</v>
      </c>
      <c r="C52" s="3">
        <f>SUMIFS('All Transactions'!$F$5:$F$436,'All Transactions'!$D$5:$D$436,$A52,'All Transactions'!$A$5:$A$436,C$4)</f>
        <v>0</v>
      </c>
      <c r="D52" s="3">
        <f>SUMIFS('All Transactions'!$F$5:$F$436,'All Transactions'!$D$5:$D$436,$A52,'All Transactions'!$A$5:$A$436,D$4)</f>
        <v>0</v>
      </c>
      <c r="E52" s="3">
        <f>SUMIFS('All Transactions'!$F$5:$F$436,'All Transactions'!$D$5:$D$436,$A52,'All Transactions'!$A$5:$A$436,E$4)</f>
        <v>0</v>
      </c>
      <c r="F52" s="3">
        <f>SUM(B52:E52)</f>
        <v>0</v>
      </c>
      <c r="G52" s="3">
        <f>F52/4</f>
        <v>0.0</v>
      </c>
    </row>
    <row r="53">
      <c r="A53" s="7" t="inlineStr">
        <is>
          <t xml:space="preserve">Total Streaming</t>
        </is>
      </c>
      <c r="B53" s="6">
        <f>SUM(B45:B52)</f>
        <v>188.8</v>
      </c>
      <c r="C53" s="6">
        <f>SUM(C45:C52)</f>
        <v>201.6</v>
      </c>
      <c r="D53" s="6">
        <f>SUM(D45:D52)</f>
        <v>158.35</v>
      </c>
      <c r="E53" s="6">
        <f>SUM(E45:E52)</f>
        <v>188.98</v>
      </c>
      <c r="F53" s="6">
        <f>SUM(F45:F52)</f>
        <v>737.73</v>
      </c>
      <c r="G53" s="6">
        <f>F53/4</f>
        <v>184.43</v>
      </c>
    </row>
    <row r="55">
      <c r="A55" s="5" t="inlineStr">
        <is>
          <t xml:space="preserve">Subscriptions</t>
        </is>
      </c>
    </row>
    <row r="56">
      <c r="A56" s="12" t="inlineStr">
        <is>
          <t xml:space="preserve">Software &amp; Online Subscriptions</t>
        </is>
      </c>
      <c r="B56" s="3">
        <f>SUMIFS('All Transactions'!$F$5:$F$436,'All Transactions'!$D$5:$D$436,$A56,'All Transactions'!$A$5:$A$436,B$4)</f>
        <v>141.73</v>
      </c>
      <c r="C56" s="3">
        <f>SUMIFS('All Transactions'!$F$5:$F$436,'All Transactions'!$D$5:$D$436,$A56,'All Transactions'!$A$5:$A$436,C$4)</f>
        <v>161.05</v>
      </c>
      <c r="D56" s="3">
        <f>SUMIFS('All Transactions'!$F$5:$F$436,'All Transactions'!$D$5:$D$436,$A56,'All Transactions'!$A$5:$A$436,D$4)</f>
        <v>65.98</v>
      </c>
      <c r="E56" s="3">
        <f>SUMIFS('All Transactions'!$F$5:$F$436,'All Transactions'!$D$5:$D$436,$A56,'All Transactions'!$A$5:$A$436,E$4)</f>
        <v>0</v>
      </c>
      <c r="F56" s="3">
        <f>SUM(B56:E56)</f>
        <v>368.76</v>
      </c>
      <c r="G56" s="3">
        <f>F56/4</f>
        <v>92.19</v>
      </c>
    </row>
    <row r="57">
      <c r="A57" s="7" t="inlineStr">
        <is>
          <t xml:space="preserve">Total Subscriptions</t>
        </is>
      </c>
      <c r="B57" s="6">
        <f>SUM(B56:B56)</f>
        <v>141.73</v>
      </c>
      <c r="C57" s="6">
        <f>SUM(C56:C56)</f>
        <v>161.05</v>
      </c>
      <c r="D57" s="6">
        <f>SUM(D56:D56)</f>
        <v>65.98</v>
      </c>
      <c r="E57" s="6">
        <f>SUM(E56:E56)</f>
        <v>0</v>
      </c>
      <c r="F57" s="6">
        <f>SUM(F56:F56)</f>
        <v>368.76</v>
      </c>
      <c r="G57" s="6">
        <f>F57/4</f>
        <v>92.19</v>
      </c>
    </row>
    <row r="59">
      <c r="A59" s="5" t="inlineStr">
        <is>
          <t xml:space="preserve">Health</t>
        </is>
      </c>
    </row>
    <row r="60">
      <c r="A60" s="12" t="inlineStr">
        <is>
          <t xml:space="preserve">Medical &amp; Pharmacy</t>
        </is>
      </c>
      <c r="B60" s="3">
        <f>SUMIFS('All Transactions'!$F$5:$F$436,'All Transactions'!$D$5:$D$436,$A60,'All Transactions'!$A$5:$A$436,B$4)</f>
        <v>160.07</v>
      </c>
      <c r="C60" s="3">
        <f>SUMIFS('All Transactions'!$F$5:$F$436,'All Transactions'!$D$5:$D$436,$A60,'All Transactions'!$A$5:$A$436,C$4)</f>
        <v>100.93</v>
      </c>
      <c r="D60" s="3">
        <f>SUMIFS('All Transactions'!$F$5:$F$436,'All Transactions'!$D$5:$D$436,$A60,'All Transactions'!$A$5:$A$436,D$4)</f>
        <v>850.9</v>
      </c>
      <c r="E60" s="3">
        <f>SUMIFS('All Transactions'!$F$5:$F$436,'All Transactions'!$D$5:$D$436,$A60,'All Transactions'!$A$5:$A$436,E$4)</f>
        <v>160.28</v>
      </c>
      <c r="F60" s="3">
        <f>SUM(B60:E60)</f>
        <v>1272.18</v>
      </c>
      <c r="G60" s="3">
        <f>F60/4</f>
        <v>318.05</v>
      </c>
    </row>
    <row r="61">
      <c r="A61" s="7" t="inlineStr">
        <is>
          <t xml:space="preserve">Total Health</t>
        </is>
      </c>
      <c r="B61" s="6">
        <f>SUM(B60:B60)</f>
        <v>160.07</v>
      </c>
      <c r="C61" s="6">
        <f>SUM(C60:C60)</f>
        <v>100.93</v>
      </c>
      <c r="D61" s="6">
        <f>SUM(D60:D60)</f>
        <v>850.9</v>
      </c>
      <c r="E61" s="6">
        <f>SUM(E60:E60)</f>
        <v>160.28</v>
      </c>
      <c r="F61" s="6">
        <f>SUM(F60:F60)</f>
        <v>1272.18</v>
      </c>
      <c r="G61" s="6">
        <f>F61/4</f>
        <v>318.05</v>
      </c>
    </row>
    <row r="63">
      <c r="A63" s="5" t="inlineStr">
        <is>
          <t xml:space="preserve">Personal</t>
        </is>
      </c>
    </row>
    <row r="64">
      <c r="A64" s="12" t="inlineStr">
        <is>
          <t xml:space="preserve">Personal Care (Hair Salon, Beauty)</t>
        </is>
      </c>
      <c r="B64" s="3">
        <f>SUMIFS('All Transactions'!$F$5:$F$436,'All Transactions'!$D$5:$D$436,$A64,'All Transactions'!$A$5:$A$436,B$4)</f>
        <v>182.5</v>
      </c>
      <c r="C64" s="3">
        <f>SUMIFS('All Transactions'!$F$5:$F$436,'All Transactions'!$D$5:$D$436,$A64,'All Transactions'!$A$5:$A$436,C$4)</f>
        <v>0</v>
      </c>
      <c r="D64" s="3">
        <f>SUMIFS('All Transactions'!$F$5:$F$436,'All Transactions'!$D$5:$D$436,$A64,'All Transactions'!$A$5:$A$436,D$4)</f>
        <v>182.5</v>
      </c>
      <c r="E64" s="3">
        <f>SUMIFS('All Transactions'!$F$5:$F$436,'All Transactions'!$D$5:$D$436,$A64,'All Transactions'!$A$5:$A$436,E$4)</f>
        <v>114.5</v>
      </c>
      <c r="F64" s="3">
        <f>SUM(B64:E64)</f>
        <v>479.5</v>
      </c>
      <c r="G64" s="3">
        <f>F64/4</f>
        <v>119.88</v>
      </c>
    </row>
    <row r="65">
      <c r="A65" s="7" t="inlineStr">
        <is>
          <t xml:space="preserve">Total Personal</t>
        </is>
      </c>
      <c r="B65" s="6">
        <f>SUM(B64:B64)</f>
        <v>182.5</v>
      </c>
      <c r="C65" s="6">
        <f>SUM(C64:C64)</f>
        <v>0</v>
      </c>
      <c r="D65" s="6">
        <f>SUM(D64:D64)</f>
        <v>182.5</v>
      </c>
      <c r="E65" s="6">
        <f>SUM(E64:E64)</f>
        <v>114.5</v>
      </c>
      <c r="F65" s="6">
        <f>SUM(F64:F64)</f>
        <v>479.5</v>
      </c>
      <c r="G65" s="6">
        <f>F65/4</f>
        <v>119.88</v>
      </c>
    </row>
    <row r="67">
      <c r="A67" s="5" t="inlineStr">
        <is>
          <t xml:space="preserve">Retail</t>
        </is>
      </c>
    </row>
    <row r="68">
      <c r="A68" s="12" t="inlineStr">
        <is>
          <t xml:space="preserve">Retail – Walmart</t>
        </is>
      </c>
      <c r="B68" s="3">
        <f>SUMIFS('All Transactions'!$F$5:$F$436,'All Transactions'!$D$5:$D$436,$A68,'All Transactions'!$A$5:$A$436,B$4)</f>
        <v>0</v>
      </c>
      <c r="C68" s="3">
        <f>SUMIFS('All Transactions'!$F$5:$F$436,'All Transactions'!$D$5:$D$436,$A68,'All Transactions'!$A$5:$A$436,C$4)</f>
        <v>132.66</v>
      </c>
      <c r="D68" s="3">
        <f>SUMIFS('All Transactions'!$F$5:$F$436,'All Transactions'!$D$5:$D$436,$A68,'All Transactions'!$A$5:$A$436,D$4)</f>
        <v>1732.6</v>
      </c>
      <c r="E68" s="3">
        <f>SUMIFS('All Transactions'!$F$5:$F$436,'All Transactions'!$D$5:$D$436,$A68,'All Transactions'!$A$5:$A$436,E$4)</f>
        <v>32.63</v>
      </c>
      <c r="F68" s="3">
        <f>SUM(B68:E68)</f>
        <v>1897.89</v>
      </c>
      <c r="G68" s="3">
        <f>F68/4</f>
        <v>474.47</v>
      </c>
    </row>
    <row r="69">
      <c r="A69" s="12" t="inlineStr">
        <is>
          <t xml:space="preserve">Retail – Belk (store card payments)</t>
        </is>
      </c>
      <c r="B69" s="3">
        <f>SUMIFS('All Transactions'!$F$5:$F$436,'All Transactions'!$D$5:$D$436,$A69,'All Transactions'!$A$5:$A$436,B$4)</f>
        <v>386.69</v>
      </c>
      <c r="C69" s="3">
        <f>SUMIFS('All Transactions'!$F$5:$F$436,'All Transactions'!$D$5:$D$436,$A69,'All Transactions'!$A$5:$A$436,C$4)</f>
        <v>948.04</v>
      </c>
      <c r="D69" s="3">
        <f>SUMIFS('All Transactions'!$F$5:$F$436,'All Transactions'!$D$5:$D$436,$A69,'All Transactions'!$A$5:$A$436,D$4)</f>
        <v>0</v>
      </c>
      <c r="E69" s="3">
        <f>SUMIFS('All Transactions'!$F$5:$F$436,'All Transactions'!$D$5:$D$436,$A69,'All Transactions'!$A$5:$A$436,E$4)</f>
        <v>0</v>
      </c>
      <c r="F69" s="3">
        <f>SUM(B69:E69)</f>
        <v>1334.73</v>
      </c>
      <c r="G69" s="3">
        <f>F69/4</f>
        <v>333.68</v>
      </c>
    </row>
    <row r="70">
      <c r="A70" s="12" t="inlineStr">
        <is>
          <t xml:space="preserve">Retail – Marshalls</t>
        </is>
      </c>
      <c r="B70" s="3">
        <f>SUMIFS('All Transactions'!$F$5:$F$436,'All Transactions'!$D$5:$D$436,$A70,'All Transactions'!$A$5:$A$436,B$4)</f>
        <v>0</v>
      </c>
      <c r="C70" s="3">
        <f>SUMIFS('All Transactions'!$F$5:$F$436,'All Transactions'!$D$5:$D$436,$A70,'All Transactions'!$A$5:$A$436,C$4)</f>
        <v>0</v>
      </c>
      <c r="D70" s="3">
        <f>SUMIFS('All Transactions'!$F$5:$F$436,'All Transactions'!$D$5:$D$436,$A70,'All Transactions'!$A$5:$A$436,D$4)</f>
        <v>0</v>
      </c>
      <c r="E70" s="3">
        <f>SUMIFS('All Transactions'!$F$5:$F$436,'All Transactions'!$D$5:$D$436,$A70,'All Transactions'!$A$5:$A$436,E$4)</f>
        <v>41.59</v>
      </c>
      <c r="F70" s="3">
        <f>SUM(B70:E70)</f>
        <v>41.59</v>
      </c>
      <c r="G70" s="3">
        <f>F70/4</f>
        <v>10.4</v>
      </c>
    </row>
    <row r="71">
      <c r="A71" s="12" t="inlineStr">
        <is>
          <t xml:space="preserve">Retail – Ross</t>
        </is>
      </c>
      <c r="B71" s="3">
        <f>SUMIFS('All Transactions'!$F$5:$F$436,'All Transactions'!$D$5:$D$436,$A71,'All Transactions'!$A$5:$A$436,B$4)</f>
        <v>48.03</v>
      </c>
      <c r="C71" s="3">
        <f>SUMIFS('All Transactions'!$F$5:$F$436,'All Transactions'!$D$5:$D$436,$A71,'All Transactions'!$A$5:$A$436,C$4)</f>
        <v>0</v>
      </c>
      <c r="D71" s="3">
        <f>SUMIFS('All Transactions'!$F$5:$F$436,'All Transactions'!$D$5:$D$436,$A71,'All Transactions'!$A$5:$A$436,D$4)</f>
        <v>0</v>
      </c>
      <c r="E71" s="3">
        <f>SUMIFS('All Transactions'!$F$5:$F$436,'All Transactions'!$D$5:$D$436,$A71,'All Transactions'!$A$5:$A$436,E$4)</f>
        <v>16.32</v>
      </c>
      <c r="F71" s="3">
        <f>SUM(B71:E71)</f>
        <v>64.35</v>
      </c>
      <c r="G71" s="3">
        <f>F71/4</f>
        <v>16.09</v>
      </c>
    </row>
    <row r="72">
      <c r="A72" s="12" t="inlineStr">
        <is>
          <t xml:space="preserve">Retail – Dillard's</t>
        </is>
      </c>
      <c r="B72" s="3">
        <f>SUMIFS('All Transactions'!$F$5:$F$436,'All Transactions'!$D$5:$D$436,$A72,'All Transactions'!$A$5:$A$436,B$4)</f>
        <v>0</v>
      </c>
      <c r="C72" s="3">
        <f>SUMIFS('All Transactions'!$F$5:$F$436,'All Transactions'!$D$5:$D$436,$A72,'All Transactions'!$A$5:$A$436,C$4)</f>
        <v>0</v>
      </c>
      <c r="D72" s="3">
        <f>SUMIFS('All Transactions'!$F$5:$F$436,'All Transactions'!$D$5:$D$436,$A72,'All Transactions'!$A$5:$A$436,D$4)</f>
        <v>174.74</v>
      </c>
      <c r="E72" s="3">
        <f>SUMIFS('All Transactions'!$F$5:$F$436,'All Transactions'!$D$5:$D$436,$A72,'All Transactions'!$A$5:$A$436,E$4)</f>
        <v>0</v>
      </c>
      <c r="F72" s="3">
        <f>SUM(B72:E72)</f>
        <v>174.74</v>
      </c>
      <c r="G72" s="3">
        <f>F72/4</f>
        <v>43.69</v>
      </c>
    </row>
    <row r="73">
      <c r="A73" s="12" t="inlineStr">
        <is>
          <t xml:space="preserve">Retail – Target</t>
        </is>
      </c>
      <c r="B73" s="3">
        <f>SUMIFS('All Transactions'!$F$5:$F$436,'All Transactions'!$D$5:$D$436,$A73,'All Transactions'!$A$5:$A$436,B$4)</f>
        <v>58.98</v>
      </c>
      <c r="C73" s="3">
        <f>SUMIFS('All Transactions'!$F$5:$F$436,'All Transactions'!$D$5:$D$436,$A73,'All Transactions'!$A$5:$A$436,C$4)</f>
        <v>0</v>
      </c>
      <c r="D73" s="3">
        <f>SUMIFS('All Transactions'!$F$5:$F$436,'All Transactions'!$D$5:$D$436,$A73,'All Transactions'!$A$5:$A$436,D$4)</f>
        <v>0</v>
      </c>
      <c r="E73" s="3">
        <f>SUMIFS('All Transactions'!$F$5:$F$436,'All Transactions'!$D$5:$D$436,$A73,'All Transactions'!$A$5:$A$436,E$4)</f>
        <v>0</v>
      </c>
      <c r="F73" s="3">
        <f>SUM(B73:E73)</f>
        <v>58.98</v>
      </c>
      <c r="G73" s="3">
        <f>F73/4</f>
        <v>14.74</v>
      </c>
    </row>
    <row r="74">
      <c r="A74" s="12" t="inlineStr">
        <is>
          <t xml:space="preserve">Retail – HomeSense</t>
        </is>
      </c>
      <c r="B74" s="3">
        <f>SUMIFS('All Transactions'!$F$5:$F$436,'All Transactions'!$D$5:$D$436,$A74,'All Transactions'!$A$5:$A$436,B$4)</f>
        <v>0</v>
      </c>
      <c r="C74" s="3">
        <f>SUMIFS('All Transactions'!$F$5:$F$436,'All Transactions'!$D$5:$D$436,$A74,'All Transactions'!$A$5:$A$436,C$4)</f>
        <v>0</v>
      </c>
      <c r="D74" s="3">
        <f>SUMIFS('All Transactions'!$F$5:$F$436,'All Transactions'!$D$5:$D$436,$A74,'All Transactions'!$A$5:$A$436,D$4)</f>
        <v>88.7</v>
      </c>
      <c r="E74" s="3">
        <f>SUMIFS('All Transactions'!$F$5:$F$436,'All Transactions'!$D$5:$D$436,$A74,'All Transactions'!$A$5:$A$436,E$4)</f>
        <v>0</v>
      </c>
      <c r="F74" s="3">
        <f>SUM(B74:E74)</f>
        <v>88.7</v>
      </c>
      <c r="G74" s="3">
        <f>F74/4</f>
        <v>22.18</v>
      </c>
    </row>
    <row r="75">
      <c r="A75" s="12" t="inlineStr">
        <is>
          <t xml:space="preserve">Retail – Hobby Lobby</t>
        </is>
      </c>
      <c r="B75" s="3">
        <f>SUMIFS('All Transactions'!$F$5:$F$436,'All Transactions'!$D$5:$D$436,$A75,'All Transactions'!$A$5:$A$436,B$4)</f>
        <v>0</v>
      </c>
      <c r="C75" s="3">
        <f>SUMIFS('All Transactions'!$F$5:$F$436,'All Transactions'!$D$5:$D$436,$A75,'All Transactions'!$A$5:$A$436,C$4)</f>
        <v>0</v>
      </c>
      <c r="D75" s="3">
        <f>SUMIFS('All Transactions'!$F$5:$F$436,'All Transactions'!$D$5:$D$436,$A75,'All Transactions'!$A$5:$A$436,D$4)</f>
        <v>165.67</v>
      </c>
      <c r="E75" s="3">
        <f>SUMIFS('All Transactions'!$F$5:$F$436,'All Transactions'!$D$5:$D$436,$A75,'All Transactions'!$A$5:$A$436,E$4)</f>
        <v>37.33</v>
      </c>
      <c r="F75" s="3">
        <f>SUM(B75:E75)</f>
        <v>203.0</v>
      </c>
      <c r="G75" s="3">
        <f>F75/4</f>
        <v>50.75</v>
      </c>
    </row>
    <row r="76">
      <c r="A76" s="12" t="inlineStr">
        <is>
          <t xml:space="preserve">Retail – Lowe's (home improvement)</t>
        </is>
      </c>
      <c r="B76" s="3">
        <f>SUMIFS('All Transactions'!$F$5:$F$436,'All Transactions'!$D$5:$D$436,$A76,'All Transactions'!$A$5:$A$436,B$4)</f>
        <v>27.67</v>
      </c>
      <c r="C76" s="3">
        <f>SUMIFS('All Transactions'!$F$5:$F$436,'All Transactions'!$D$5:$D$436,$A76,'All Transactions'!$A$5:$A$436,C$4)</f>
        <v>0</v>
      </c>
      <c r="D76" s="3">
        <f>SUMIFS('All Transactions'!$F$5:$F$436,'All Transactions'!$D$5:$D$436,$A76,'All Transactions'!$A$5:$A$436,D$4)</f>
        <v>171.55</v>
      </c>
      <c r="E76" s="3">
        <f>SUMIFS('All Transactions'!$F$5:$F$436,'All Transactions'!$D$5:$D$436,$A76,'All Transactions'!$A$5:$A$436,E$4)</f>
        <v>85.27</v>
      </c>
      <c r="F76" s="3">
        <f>SUM(B76:E76)</f>
        <v>284.49</v>
      </c>
      <c r="G76" s="3">
        <f>F76/4</f>
        <v>71.12</v>
      </c>
    </row>
    <row r="77">
      <c r="A77" s="12" t="inlineStr">
        <is>
          <t xml:space="preserve">Retail – Tractor Supply</t>
        </is>
      </c>
      <c r="B77" s="3">
        <f>SUMIFS('All Transactions'!$F$5:$F$436,'All Transactions'!$D$5:$D$436,$A77,'All Transactions'!$A$5:$A$436,B$4)</f>
        <v>0</v>
      </c>
      <c r="C77" s="3">
        <f>SUMIFS('All Transactions'!$F$5:$F$436,'All Transactions'!$D$5:$D$436,$A77,'All Transactions'!$A$5:$A$436,C$4)</f>
        <v>0</v>
      </c>
      <c r="D77" s="3">
        <f>SUMIFS('All Transactions'!$F$5:$F$436,'All Transactions'!$D$5:$D$436,$A77,'All Transactions'!$A$5:$A$436,D$4)</f>
        <v>29.86</v>
      </c>
      <c r="E77" s="3">
        <f>SUMIFS('All Transactions'!$F$5:$F$436,'All Transactions'!$D$5:$D$436,$A77,'All Transactions'!$A$5:$A$436,E$4)</f>
        <v>0</v>
      </c>
      <c r="F77" s="3">
        <f>SUM(B77:E77)</f>
        <v>29.86</v>
      </c>
      <c r="G77" s="3">
        <f>F77/4</f>
        <v>7.46</v>
      </c>
    </row>
    <row r="78">
      <c r="A78" s="12" t="inlineStr">
        <is>
          <t xml:space="preserve">Retail – Dick's Sporting Goods</t>
        </is>
      </c>
      <c r="B78" s="3">
        <f>SUMIFS('All Transactions'!$F$5:$F$436,'All Transactions'!$D$5:$D$436,$A78,'All Transactions'!$A$5:$A$436,B$4)</f>
        <v>0</v>
      </c>
      <c r="C78" s="3">
        <f>SUMIFS('All Transactions'!$F$5:$F$436,'All Transactions'!$D$5:$D$436,$A78,'All Transactions'!$A$5:$A$436,C$4)</f>
        <v>63.61</v>
      </c>
      <c r="D78" s="3">
        <f>SUMIFS('All Transactions'!$F$5:$F$436,'All Transactions'!$D$5:$D$436,$A78,'All Transactions'!$A$5:$A$436,D$4)</f>
        <v>0</v>
      </c>
      <c r="E78" s="3">
        <f>SUMIFS('All Transactions'!$F$5:$F$436,'All Transactions'!$D$5:$D$436,$A78,'All Transactions'!$A$5:$A$436,E$4)</f>
        <v>0</v>
      </c>
      <c r="F78" s="3">
        <f>SUM(B78:E78)</f>
        <v>63.61</v>
      </c>
      <c r="G78" s="3">
        <f>F78/4</f>
        <v>15.9</v>
      </c>
    </row>
    <row r="79">
      <c r="A79" s="12" t="inlineStr">
        <is>
          <t xml:space="preserve">Retail – Ulta Beauty</t>
        </is>
      </c>
      <c r="B79" s="3">
        <f>SUMIFS('All Transactions'!$F$5:$F$436,'All Transactions'!$D$5:$D$436,$A79,'All Transactions'!$A$5:$A$436,B$4)</f>
        <v>134.71</v>
      </c>
      <c r="C79" s="3">
        <f>SUMIFS('All Transactions'!$F$5:$F$436,'All Transactions'!$D$5:$D$436,$A79,'All Transactions'!$A$5:$A$436,C$4)</f>
        <v>0</v>
      </c>
      <c r="D79" s="3">
        <f>SUMIFS('All Transactions'!$F$5:$F$436,'All Transactions'!$D$5:$D$436,$A79,'All Transactions'!$A$5:$A$436,D$4)</f>
        <v>0</v>
      </c>
      <c r="E79" s="3">
        <f>SUMIFS('All Transactions'!$F$5:$F$436,'All Transactions'!$D$5:$D$436,$A79,'All Transactions'!$A$5:$A$436,E$4)</f>
        <v>0</v>
      </c>
      <c r="F79" s="3">
        <f>SUM(B79:E79)</f>
        <v>134.71</v>
      </c>
      <c r="G79" s="3">
        <f>F79/4</f>
        <v>33.68</v>
      </c>
    </row>
    <row r="80">
      <c r="A80" s="12" t="inlineStr">
        <is>
          <t xml:space="preserve">Retail – Bath &amp; Body Works</t>
        </is>
      </c>
      <c r="B80" s="3">
        <f>SUMIFS('All Transactions'!$F$5:$F$436,'All Transactions'!$D$5:$D$436,$A80,'All Transactions'!$A$5:$A$436,B$4)</f>
        <v>51.31</v>
      </c>
      <c r="C80" s="3">
        <f>SUMIFS('All Transactions'!$F$5:$F$436,'All Transactions'!$D$5:$D$436,$A80,'All Transactions'!$A$5:$A$436,C$4)</f>
        <v>0</v>
      </c>
      <c r="D80" s="3">
        <f>SUMIFS('All Transactions'!$F$5:$F$436,'All Transactions'!$D$5:$D$436,$A80,'All Transactions'!$A$5:$A$436,D$4)</f>
        <v>0</v>
      </c>
      <c r="E80" s="3">
        <f>SUMIFS('All Transactions'!$F$5:$F$436,'All Transactions'!$D$5:$D$436,$A80,'All Transactions'!$A$5:$A$436,E$4)</f>
        <v>0</v>
      </c>
      <c r="F80" s="3">
        <f>SUM(B80:E80)</f>
        <v>51.31</v>
      </c>
      <c r="G80" s="3">
        <f>F80/4</f>
        <v>12.83</v>
      </c>
    </row>
    <row r="81">
      <c r="A81" s="12" t="inlineStr">
        <is>
          <t xml:space="preserve">Retail – Dollar Tree / Dollar General</t>
        </is>
      </c>
      <c r="B81" s="3">
        <f>SUMIFS('All Transactions'!$F$5:$F$436,'All Transactions'!$D$5:$D$436,$A81,'All Transactions'!$A$5:$A$436,B$4)</f>
        <v>0</v>
      </c>
      <c r="C81" s="3">
        <f>SUMIFS('All Transactions'!$F$5:$F$436,'All Transactions'!$D$5:$D$436,$A81,'All Transactions'!$A$5:$A$436,C$4)</f>
        <v>5.87</v>
      </c>
      <c r="D81" s="3">
        <f>SUMIFS('All Transactions'!$F$5:$F$436,'All Transactions'!$D$5:$D$436,$A81,'All Transactions'!$A$5:$A$436,D$4)</f>
        <v>17.35</v>
      </c>
      <c r="E81" s="3">
        <f>SUMIFS('All Transactions'!$F$5:$F$436,'All Transactions'!$D$5:$D$436,$A81,'All Transactions'!$A$5:$A$436,E$4)</f>
        <v>0</v>
      </c>
      <c r="F81" s="3">
        <f>SUM(B81:E81)</f>
        <v>23.22</v>
      </c>
      <c r="G81" s="3">
        <f>F81/4</f>
        <v>5.81</v>
      </c>
    </row>
    <row r="82">
      <c r="A82" s="12" t="inlineStr">
        <is>
          <t xml:space="preserve">Retail – Local shops (Hippie Chick, Southport Spices, Mad River, Coastal Carolina)</t>
        </is>
      </c>
      <c r="B82" s="3">
        <f>SUMIFS('All Transactions'!$F$5:$F$436,'All Transactions'!$D$5:$D$436,$A82,'All Transactions'!$A$5:$A$436,B$4)</f>
        <v>108.03</v>
      </c>
      <c r="C82" s="3">
        <f>SUMIFS('All Transactions'!$F$5:$F$436,'All Transactions'!$D$5:$D$436,$A82,'All Transactions'!$A$5:$A$436,C$4)</f>
        <v>0</v>
      </c>
      <c r="D82" s="3">
        <f>SUMIFS('All Transactions'!$F$5:$F$436,'All Transactions'!$D$5:$D$436,$A82,'All Transactions'!$A$5:$A$436,D$4)</f>
        <v>0</v>
      </c>
      <c r="E82" s="3">
        <f>SUMIFS('All Transactions'!$F$5:$F$436,'All Transactions'!$D$5:$D$436,$A82,'All Transactions'!$A$5:$A$436,E$4)</f>
        <v>119.97</v>
      </c>
      <c r="F82" s="3">
        <f>SUM(B82:E82)</f>
        <v>228.0</v>
      </c>
      <c r="G82" s="3">
        <f>F82/4</f>
        <v>57.0</v>
      </c>
    </row>
    <row r="83">
      <c r="A83" s="7" t="inlineStr">
        <is>
          <t xml:space="preserve">Total Retail</t>
        </is>
      </c>
      <c r="B83" s="6">
        <f>SUM(B68:B82)</f>
        <v>815.42</v>
      </c>
      <c r="C83" s="6">
        <f>SUM(C68:C82)</f>
        <v>1150.18</v>
      </c>
      <c r="D83" s="6">
        <f>SUM(D68:D82)</f>
        <v>2380.47</v>
      </c>
      <c r="E83" s="6">
        <f>SUM(E68:E82)</f>
        <v>333.11</v>
      </c>
      <c r="F83" s="6">
        <f>SUM(F68:F82)</f>
        <v>4679.18</v>
      </c>
      <c r="G83" s="6">
        <f>F83/4</f>
        <v>1169.8</v>
      </c>
    </row>
    <row r="85">
      <c r="A85" s="5" t="inlineStr">
        <is>
          <t xml:space="preserve">Home</t>
        </is>
      </c>
    </row>
    <row r="86">
      <c r="A86" s="12" t="inlineStr">
        <is>
          <t xml:space="preserve">Yard Company (NextGen)</t>
        </is>
      </c>
      <c r="B86" s="3">
        <f>SUMIFS('All Transactions'!$F$5:$F$436,'All Transactions'!$D$5:$D$436,$A86,'All Transactions'!$A$5:$A$436,B$4)</f>
        <v>60.0</v>
      </c>
      <c r="C86" s="3">
        <f>SUMIFS('All Transactions'!$F$5:$F$436,'All Transactions'!$D$5:$D$436,$A86,'All Transactions'!$A$5:$A$436,C$4)</f>
        <v>100.0</v>
      </c>
      <c r="D86" s="3">
        <f>SUMIFS('All Transactions'!$F$5:$F$436,'All Transactions'!$D$5:$D$436,$A86,'All Transactions'!$A$5:$A$436,D$4)</f>
        <v>220.0</v>
      </c>
      <c r="E86" s="3">
        <f>SUMIFS('All Transactions'!$F$5:$F$436,'All Transactions'!$D$5:$D$436,$A86,'All Transactions'!$A$5:$A$436,E$4)</f>
        <v>120.0</v>
      </c>
      <c r="F86" s="3">
        <f>SUM(B86:E86)</f>
        <v>500.0</v>
      </c>
      <c r="G86" s="3">
        <f>F86/4</f>
        <v>125.0</v>
      </c>
    </row>
    <row r="87">
      <c r="A87" s="12" t="inlineStr">
        <is>
          <t xml:space="preserve">Home Services (Cleaning, Pest, Lawn)</t>
        </is>
      </c>
      <c r="B87" s="3">
        <f>SUMIFS('All Transactions'!$F$5:$F$436,'All Transactions'!$D$5:$D$436,$A87,'All Transactions'!$A$5:$A$436,B$4)</f>
        <v>0</v>
      </c>
      <c r="C87" s="3">
        <f>SUMIFS('All Transactions'!$F$5:$F$436,'All Transactions'!$D$5:$D$436,$A87,'All Transactions'!$A$5:$A$436,C$4)</f>
        <v>242.05</v>
      </c>
      <c r="D87" s="3">
        <f>SUMIFS('All Transactions'!$F$5:$F$436,'All Transactions'!$D$5:$D$436,$A87,'All Transactions'!$A$5:$A$436,D$4)</f>
        <v>536.6</v>
      </c>
      <c r="E87" s="3">
        <f>SUMIFS('All Transactions'!$F$5:$F$436,'All Transactions'!$D$5:$D$436,$A87,'All Transactions'!$A$5:$A$436,E$4)</f>
        <v>0</v>
      </c>
      <c r="F87" s="3">
        <f>SUM(B87:E87)</f>
        <v>778.65</v>
      </c>
      <c r="G87" s="3">
        <f>F87/4</f>
        <v>194.66</v>
      </c>
    </row>
    <row r="88">
      <c r="A88" s="7" t="inlineStr">
        <is>
          <t xml:space="preserve">Total Home</t>
        </is>
      </c>
      <c r="B88" s="6">
        <f>SUM(B86:B87)</f>
        <v>60.0</v>
      </c>
      <c r="C88" s="6">
        <f>SUM(C86:C87)</f>
        <v>342.05</v>
      </c>
      <c r="D88" s="6">
        <f>SUM(D86:D87)</f>
        <v>756.6</v>
      </c>
      <c r="E88" s="6">
        <f>SUM(E86:E87)</f>
        <v>120.0</v>
      </c>
      <c r="F88" s="6">
        <f>SUM(F86:F87)</f>
        <v>1278.65</v>
      </c>
      <c r="G88" s="6">
        <f>F88/4</f>
        <v>319.66</v>
      </c>
    </row>
    <row r="90">
      <c r="A90" s="5" t="inlineStr">
        <is>
          <t xml:space="preserve">Travel</t>
        </is>
      </c>
    </row>
    <row r="91">
      <c r="A91" s="12" t="inlineStr">
        <is>
          <t xml:space="preserve">Travel (Lyft, Hotel)</t>
        </is>
      </c>
      <c r="B91" s="3">
        <f>SUMIFS('All Transactions'!$F$5:$F$436,'All Transactions'!$D$5:$D$436,$A91,'All Transactions'!$A$5:$A$436,B$4)</f>
        <v>102.65</v>
      </c>
      <c r="C91" s="3">
        <f>SUMIFS('All Transactions'!$F$5:$F$436,'All Transactions'!$D$5:$D$436,$A91,'All Transactions'!$A$5:$A$436,C$4)</f>
        <v>0</v>
      </c>
      <c r="D91" s="3">
        <f>SUMIFS('All Transactions'!$F$5:$F$436,'All Transactions'!$D$5:$D$436,$A91,'All Transactions'!$A$5:$A$436,D$4)</f>
        <v>0</v>
      </c>
      <c r="E91" s="3">
        <f>SUMIFS('All Transactions'!$F$5:$F$436,'All Transactions'!$D$5:$D$436,$A91,'All Transactions'!$A$5:$A$436,E$4)</f>
        <v>0</v>
      </c>
      <c r="F91" s="3">
        <f>SUM(B91:E91)</f>
        <v>102.65</v>
      </c>
      <c r="G91" s="3">
        <f>F91/4</f>
        <v>25.66</v>
      </c>
    </row>
    <row r="92">
      <c r="A92" s="7" t="inlineStr">
        <is>
          <t xml:space="preserve">Total Travel</t>
        </is>
      </c>
      <c r="B92" s="6">
        <f>SUM(B91:B91)</f>
        <v>102.65</v>
      </c>
      <c r="C92" s="6">
        <f>SUM(C91:C91)</f>
        <v>0</v>
      </c>
      <c r="D92" s="6">
        <f>SUM(D91:D91)</f>
        <v>0</v>
      </c>
      <c r="E92" s="6">
        <f>SUM(E91:E91)</f>
        <v>0</v>
      </c>
      <c r="F92" s="6">
        <f>SUM(F91:F91)</f>
        <v>102.65</v>
      </c>
      <c r="G92" s="6">
        <f>F92/4</f>
        <v>25.66</v>
      </c>
    </row>
    <row r="94">
      <c r="A94" s="5" t="inlineStr">
        <is>
          <t xml:space="preserve">Recreation</t>
        </is>
      </c>
    </row>
    <row r="95">
      <c r="A95" s="12" t="inlineStr">
        <is>
          <t xml:space="preserve">St. James Marina</t>
        </is>
      </c>
      <c r="B95" s="3">
        <f>SUMIFS('All Transactions'!$F$5:$F$436,'All Transactions'!$D$5:$D$436,$A95,'All Transactions'!$A$5:$A$436,B$4)</f>
        <v>0</v>
      </c>
      <c r="C95" s="3">
        <f>SUMIFS('All Transactions'!$F$5:$F$436,'All Transactions'!$D$5:$D$436,$A95,'All Transactions'!$A$5:$A$436,C$4)</f>
        <v>33.54</v>
      </c>
      <c r="D95" s="3">
        <f>SUMIFS('All Transactions'!$F$5:$F$436,'All Transactions'!$D$5:$D$436,$A95,'All Transactions'!$A$5:$A$436,D$4)</f>
        <v>0</v>
      </c>
      <c r="E95" s="3">
        <f>SUMIFS('All Transactions'!$F$5:$F$436,'All Transactions'!$D$5:$D$436,$A95,'All Transactions'!$A$5:$A$436,E$4)</f>
        <v>0</v>
      </c>
      <c r="F95" s="3">
        <f>SUM(B95:E95)</f>
        <v>33.54</v>
      </c>
      <c r="G95" s="3">
        <f>F95/4</f>
        <v>8.38</v>
      </c>
    </row>
    <row r="96">
      <c r="A96" s="12" t="inlineStr">
        <is>
          <t xml:space="preserve">Entertainment &amp; Events</t>
        </is>
      </c>
      <c r="B96" s="3">
        <f>SUMIFS('All Transactions'!$F$5:$F$436,'All Transactions'!$D$5:$D$436,$A96,'All Transactions'!$A$5:$A$436,B$4)</f>
        <v>0</v>
      </c>
      <c r="C96" s="3">
        <f>SUMIFS('All Transactions'!$F$5:$F$436,'All Transactions'!$D$5:$D$436,$A96,'All Transactions'!$A$5:$A$436,C$4)</f>
        <v>400.0</v>
      </c>
      <c r="D96" s="3">
        <f>SUMIFS('All Transactions'!$F$5:$F$436,'All Transactions'!$D$5:$D$436,$A96,'All Transactions'!$A$5:$A$436,D$4)</f>
        <v>13.5</v>
      </c>
      <c r="E96" s="3">
        <f>SUMIFS('All Transactions'!$F$5:$F$436,'All Transactions'!$D$5:$D$436,$A96,'All Transactions'!$A$5:$A$436,E$4)</f>
        <v>0</v>
      </c>
      <c r="F96" s="3">
        <f>SUM(B96:E96)</f>
        <v>413.5</v>
      </c>
      <c r="G96" s="3">
        <f>F96/4</f>
        <v>103.38</v>
      </c>
    </row>
    <row r="97">
      <c r="A97" s="7" t="inlineStr">
        <is>
          <t xml:space="preserve">Total Recreation</t>
        </is>
      </c>
      <c r="B97" s="6">
        <f>SUM(B95:B96)</f>
        <v>0</v>
      </c>
      <c r="C97" s="6">
        <f>SUM(C95:C96)</f>
        <v>433.54</v>
      </c>
      <c r="D97" s="6">
        <f>SUM(D95:D96)</f>
        <v>13.5</v>
      </c>
      <c r="E97" s="6">
        <f>SUM(E95:E96)</f>
        <v>0</v>
      </c>
      <c r="F97" s="6">
        <f>SUM(F95:F96)</f>
        <v>447.04</v>
      </c>
      <c r="G97" s="6">
        <f>F97/4</f>
        <v>111.76</v>
      </c>
    </row>
    <row r="99">
      <c r="A99" s="5" t="inlineStr">
        <is>
          <t xml:space="preserve">Transfers</t>
        </is>
      </c>
    </row>
    <row r="100">
      <c r="A100" s="12" t="inlineStr">
        <is>
          <t xml:space="preserve">Transfers to People (Venmo/Zelle)</t>
        </is>
      </c>
      <c r="B100" s="3">
        <f>SUMIFS('All Transactions'!$F$5:$F$436,'All Transactions'!$D$5:$D$436,$A100,'All Transactions'!$A$5:$A$436,B$4)</f>
        <v>75.0</v>
      </c>
      <c r="C100" s="3">
        <f>SUMIFS('All Transactions'!$F$5:$F$436,'All Transactions'!$D$5:$D$436,$A100,'All Transactions'!$A$5:$A$436,C$4)</f>
        <v>764.05</v>
      </c>
      <c r="D100" s="3">
        <f>SUMIFS('All Transactions'!$F$5:$F$436,'All Transactions'!$D$5:$D$436,$A100,'All Transactions'!$A$5:$A$436,D$4)</f>
        <v>331.5</v>
      </c>
      <c r="E100" s="3">
        <f>SUMIFS('All Transactions'!$F$5:$F$436,'All Transactions'!$D$5:$D$436,$A100,'All Transactions'!$A$5:$A$436,E$4)</f>
        <v>130.0</v>
      </c>
      <c r="F100" s="3">
        <f>SUM(B100:E100)</f>
        <v>1300.55</v>
      </c>
      <c r="G100" s="3">
        <f>F100/4</f>
        <v>325.14</v>
      </c>
    </row>
    <row r="101">
      <c r="A101" s="7" t="inlineStr">
        <is>
          <t xml:space="preserve">Total Transfers</t>
        </is>
      </c>
      <c r="B101" s="6">
        <f>SUM(B100:B100)</f>
        <v>75.0</v>
      </c>
      <c r="C101" s="6">
        <f>SUM(C100:C100)</f>
        <v>764.05</v>
      </c>
      <c r="D101" s="6">
        <f>SUM(D100:D100)</f>
        <v>331.5</v>
      </c>
      <c r="E101" s="6">
        <f>SUM(E100:E100)</f>
        <v>130.0</v>
      </c>
      <c r="F101" s="6">
        <f>SUM(F100:F100)</f>
        <v>1300.55</v>
      </c>
      <c r="G101" s="6">
        <f>F101/4</f>
        <v>325.14</v>
      </c>
    </row>
    <row r="103">
      <c r="A103" s="5" t="inlineStr">
        <is>
          <t xml:space="preserve">Other</t>
        </is>
      </c>
    </row>
    <row r="104">
      <c r="A104" s="12" t="inlineStr">
        <is>
          <t xml:space="preserve">Donations &amp; Clubs (Kiwanis)</t>
        </is>
      </c>
      <c r="B104" s="3">
        <f>SUMIFS('All Transactions'!$F$5:$F$436,'All Transactions'!$D$5:$D$436,$A104,'All Transactions'!$A$5:$A$436,B$4)</f>
        <v>0</v>
      </c>
      <c r="C104" s="3">
        <f>SUMIFS('All Transactions'!$F$5:$F$436,'All Transactions'!$D$5:$D$436,$A104,'All Transactions'!$A$5:$A$436,C$4)</f>
        <v>0</v>
      </c>
      <c r="D104" s="3">
        <f>SUMIFS('All Transactions'!$F$5:$F$436,'All Transactions'!$D$5:$D$436,$A104,'All Transactions'!$A$5:$A$436,D$4)</f>
        <v>0</v>
      </c>
      <c r="E104" s="3">
        <f>SUMIFS('All Transactions'!$F$5:$F$436,'All Transactions'!$D$5:$D$436,$A104,'All Transactions'!$A$5:$A$436,E$4)</f>
        <v>200.0</v>
      </c>
      <c r="F104" s="3">
        <f>SUM(B104:E104)</f>
        <v>200.0</v>
      </c>
      <c r="G104" s="3">
        <f>F104/4</f>
        <v>50.0</v>
      </c>
    </row>
    <row r="105">
      <c r="A105" s="12" t="inlineStr">
        <is>
          <t xml:space="preserve">Cash (ATM) &amp; Bank Fees</t>
        </is>
      </c>
      <c r="B105" s="3">
        <f>SUMIFS('All Transactions'!$F$5:$F$436,'All Transactions'!$D$5:$D$436,$A105,'All Transactions'!$A$5:$A$436,B$4)</f>
        <v>0</v>
      </c>
      <c r="C105" s="3">
        <f>SUMIFS('All Transactions'!$F$5:$F$436,'All Transactions'!$D$5:$D$436,$A105,'All Transactions'!$A$5:$A$436,C$4)</f>
        <v>0</v>
      </c>
      <c r="D105" s="3">
        <f>SUMIFS('All Transactions'!$F$5:$F$436,'All Transactions'!$D$5:$D$436,$A105,'All Transactions'!$A$5:$A$436,D$4)</f>
        <v>0</v>
      </c>
      <c r="E105" s="3">
        <f>SUMIFS('All Transactions'!$F$5:$F$436,'All Transactions'!$D$5:$D$436,$A105,'All Transactions'!$A$5:$A$436,E$4)</f>
        <v>147.0</v>
      </c>
      <c r="F105" s="3">
        <f>SUM(B105:E105)</f>
        <v>147.0</v>
      </c>
      <c r="G105" s="3">
        <f>F105/4</f>
        <v>36.75</v>
      </c>
    </row>
    <row r="106">
      <c r="A106" s="7" t="inlineStr">
        <is>
          <t xml:space="preserve">Total Other</t>
        </is>
      </c>
      <c r="B106" s="6">
        <f>SUM(B104:B105)</f>
        <v>0</v>
      </c>
      <c r="C106" s="6">
        <f>SUM(C104:C105)</f>
        <v>0</v>
      </c>
      <c r="D106" s="6">
        <f>SUM(D104:D105)</f>
        <v>0</v>
      </c>
      <c r="E106" s="6">
        <f>SUM(E104:E105)</f>
        <v>347.0</v>
      </c>
      <c r="F106" s="6">
        <f>SUM(F104:F105)</f>
        <v>347.0</v>
      </c>
      <c r="G106" s="6">
        <f>F106/4</f>
        <v>86.75</v>
      </c>
    </row>
    <row r="108">
      <c r="A108" s="8" t="inlineStr">
        <is>
          <t xml:space="preserve">TOTAL SPENDING</t>
        </is>
      </c>
      <c r="B108" s="9">
        <f>B10+B18+B23+B28+B32+B37+B42+B53+B57+B61+B65+B83+B88+B92+B97+B101+B106</f>
        <v>12135.81</v>
      </c>
      <c r="C108" s="9">
        <f>C10+C18+C23+C28+C32+C37+C42+C53+C57+C61+C65+C83+C88+C92+C97+C101+C106</f>
        <v>12663.24</v>
      </c>
      <c r="D108" s="9">
        <f>D10+D18+D23+D28+D32+D37+D42+D53+D57+D61+D65+D83+D88+D92+D97+D101+D106</f>
        <v>15086.64</v>
      </c>
      <c r="E108" s="9">
        <f>E10+E18+E23+E28+E32+E37+E42+E53+E57+E61+E65+E83+E88+E92+E97+E101+E106</f>
        <v>11515.63</v>
      </c>
      <c r="F108" s="9">
        <f>F10+F18+F23+F28+F32+F37+F42+F53+F57+F61+F65+F83+F88+F92+F97+F101+F106</f>
        <v>51401.32</v>
      </c>
      <c r="G108" s="9">
        <f>F108/4</f>
        <v>12850.33</v>
      </c>
    </row>
    <row r="110">
      <c r="A110" s="5" t="inlineStr">
        <is>
          <t xml:space="preserve">Not counted as spending</t>
        </is>
      </c>
    </row>
    <row r="111">
      <c r="A111" s="12" t="inlineStr">
        <is>
          <t xml:space="preserve">WTW Health Premium (reimbursed by Via Benefits)</t>
        </is>
      </c>
      <c r="B111" s="3">
        <f>SUMIFS('All Transactions'!$F$5:$F$436,'All Transactions'!$D$5:$D$436,$A111,'All Transactions'!$A$5:$A$436,B$4)</f>
        <v>2576.0</v>
      </c>
      <c r="C111" s="3">
        <f>SUMIFS('All Transactions'!$F$5:$F$436,'All Transactions'!$D$5:$D$436,$A111,'All Transactions'!$A$5:$A$436,C$4)</f>
        <v>2576.0</v>
      </c>
      <c r="D111" s="3">
        <f>SUMIFS('All Transactions'!$F$5:$F$436,'All Transactions'!$D$5:$D$436,$A111,'All Transactions'!$A$5:$A$436,D$4)</f>
        <v>2576.0</v>
      </c>
      <c r="E111" s="3">
        <f>SUMIFS('All Transactions'!$F$5:$F$436,'All Transactions'!$D$5:$D$436,$A111,'All Transactions'!$A$5:$A$436,E$4)</f>
        <v>2576.0</v>
      </c>
      <c r="F111" s="3">
        <f>SUM(B111:E111)</f>
        <v>10304.0</v>
      </c>
      <c r="G111" s="3">
        <f>F111/4</f>
        <v>2576.0</v>
      </c>
    </row>
    <row r="112">
      <c r="A112" s="12" t="inlineStr">
        <is>
          <t xml:space="preserve">Credit Card Payoff – American Express</t>
        </is>
      </c>
      <c r="B112" s="3">
        <f>SUMIFS('All Transactions'!$F$5:$F$436,'All Transactions'!$D$5:$D$436,$A112,'All Transactions'!$A$5:$A$436,B$4)</f>
        <v>0</v>
      </c>
      <c r="C112" s="3">
        <f>SUMIFS('All Transactions'!$F$5:$F$436,'All Transactions'!$D$5:$D$436,$A112,'All Transactions'!$A$5:$A$436,C$4)</f>
        <v>7227.09</v>
      </c>
      <c r="D112" s="3">
        <f>SUMIFS('All Transactions'!$F$5:$F$436,'All Transactions'!$D$5:$D$436,$A112,'All Transactions'!$A$5:$A$436,D$4)</f>
        <v>4593.08</v>
      </c>
      <c r="E112" s="3">
        <f>SUMIFS('All Transactions'!$F$5:$F$436,'All Transactions'!$D$5:$D$436,$A112,'All Transactions'!$A$5:$A$436,E$4)</f>
        <v>4738.51</v>
      </c>
      <c r="F112" s="3">
        <f>SUM(B112:E112)</f>
        <v>16558.68</v>
      </c>
      <c r="G112" s="3">
        <f>F112/4</f>
        <v>4139.67</v>
      </c>
    </row>
    <row r="113">
      <c r="A113" s="12" t="inlineStr">
        <is>
          <t xml:space="preserve">Sloane Realty</t>
        </is>
      </c>
      <c r="B113" s="3">
        <f>SUMIFS('All Transactions'!$F$5:$F$436,'All Transactions'!$D$5:$D$436,$A113,'All Transactions'!$A$5:$A$436,B$4)</f>
        <v>0</v>
      </c>
      <c r="C113" s="3">
        <f>SUMIFS('All Transactions'!$F$5:$F$436,'All Transactions'!$D$5:$D$436,$A113,'All Transactions'!$A$5:$A$436,C$4)</f>
        <v>2891.98</v>
      </c>
      <c r="D113" s="3">
        <f>SUMIFS('All Transactions'!$F$5:$F$436,'All Transactions'!$D$5:$D$436,$A113,'All Transactions'!$A$5:$A$436,D$4)</f>
        <v>0</v>
      </c>
      <c r="E113" s="3">
        <f>SUMIFS('All Transactions'!$F$5:$F$436,'All Transactions'!$D$5:$D$436,$A113,'All Transactions'!$A$5:$A$436,E$4)</f>
        <v>0</v>
      </c>
      <c r="F113" s="3">
        <f>SUM(B113:E113)</f>
        <v>2891.98</v>
      </c>
      <c r="G113" s="3">
        <f>F113/4</f>
        <v>723.0</v>
      </c>
    </row>
    <row r="114">
      <c r="A114" s="12" t="inlineStr">
        <is>
          <t xml:space="preserve">Checks Written (payee not shown)</t>
        </is>
      </c>
      <c r="B114" s="3">
        <f>SUMIFS('All Transactions'!$F$5:$F$436,'All Transactions'!$D$5:$D$436,$A114,'All Transactions'!$A$5:$A$436,B$4)</f>
        <v>2630.0</v>
      </c>
      <c r="C114" s="3">
        <f>SUMIFS('All Transactions'!$F$5:$F$436,'All Transactions'!$D$5:$D$436,$A114,'All Transactions'!$A$5:$A$436,C$4)</f>
        <v>0</v>
      </c>
      <c r="D114" s="3">
        <f>SUMIFS('All Transactions'!$F$5:$F$436,'All Transactions'!$D$5:$D$436,$A114,'All Transactions'!$A$5:$A$436,D$4)</f>
        <v>728.0</v>
      </c>
      <c r="E114" s="3">
        <f>SUMIFS('All Transactions'!$F$5:$F$436,'All Transactions'!$D$5:$D$436,$A114,'All Transactions'!$A$5:$A$436,E$4)</f>
        <v>0</v>
      </c>
      <c r="F114" s="3">
        <f>SUM(B114:E114)</f>
        <v>3358.0</v>
      </c>
      <c r="G114" s="3">
        <f>F114/4</f>
        <v>839.5</v>
      </c>
    </row>
    <row r="115">
      <c r="A115" s="12" t="inlineStr">
        <is>
          <t xml:space="preserve">Transfer to Own WF Account</t>
        </is>
      </c>
      <c r="B115" s="3">
        <f>SUMIFS('All Transactions'!$F$5:$F$436,'All Transactions'!$D$5:$D$436,$A115,'All Transactions'!$A$5:$A$436,B$4)</f>
        <v>0</v>
      </c>
      <c r="C115" s="3">
        <f>SUMIFS('All Transactions'!$F$5:$F$436,'All Transactions'!$D$5:$D$436,$A115,'All Transactions'!$A$5:$A$436,C$4)</f>
        <v>3.26</v>
      </c>
      <c r="D115" s="3">
        <f>SUMIFS('All Transactions'!$F$5:$F$436,'All Transactions'!$D$5:$D$436,$A115,'All Transactions'!$A$5:$A$436,D$4)</f>
        <v>0</v>
      </c>
      <c r="E115" s="3">
        <f>SUMIFS('All Transactions'!$F$5:$F$436,'All Transactions'!$D$5:$D$436,$A115,'All Transactions'!$A$5:$A$436,E$4)</f>
        <v>0</v>
      </c>
      <c r="F115" s="3">
        <f>SUM(B115:E115)</f>
        <v>3.26</v>
      </c>
      <c r="G115" s="3">
        <f>F115/4</f>
        <v>0.81</v>
      </c>
    </row>
    <row r="116">
      <c r="A116" s="7" t="inlineStr">
        <is>
          <t xml:space="preserve">Total not counted as spending</t>
        </is>
      </c>
      <c r="B116" s="6">
        <f>SUM(B111:B115)</f>
        <v>5206.0</v>
      </c>
      <c r="C116" s="6">
        <f>SUM(C111:C115)</f>
        <v>12698.33</v>
      </c>
      <c r="D116" s="6">
        <f>SUM(D111:D115)</f>
        <v>7897.08</v>
      </c>
      <c r="E116" s="6">
        <f>SUM(E111:E115)</f>
        <v>7314.51</v>
      </c>
      <c r="F116" s="6">
        <f>SUM(F111:F115)</f>
        <v>33115.92</v>
      </c>
      <c r="G116" s="6">
        <f>F116/4</f>
        <v>8278.98</v>
      </c>
    </row>
    <row r="118">
      <c r="A118" s="12" t="inlineStr">
        <is>
          <t xml:space="preserve">Check: spending + not-counted items</t>
        </is>
      </c>
      <c r="B118" s="3">
        <f>B108+B116</f>
        <v>17341.81</v>
      </c>
      <c r="C118" s="3">
        <f>C108+C116</f>
        <v>25361.57</v>
      </c>
      <c r="D118" s="3">
        <f>D108+D116</f>
        <v>22983.72</v>
      </c>
      <c r="E118" s="3">
        <f>E108+E116</f>
        <v>18830.14</v>
      </c>
      <c r="F118" s="3">
        <f>F108+F116</f>
        <v>84517.24</v>
      </c>
    </row>
    <row r="119">
      <c r="A119" s="12" t="inlineStr">
        <is>
          <t xml:space="preserve">Withdrawals/Subtractions per bank statement</t>
        </is>
      </c>
      <c r="B119" s="13">
        <v>17341.81</v>
      </c>
      <c r="C119" s="13">
        <v>25361.57</v>
      </c>
      <c r="D119" s="13">
        <v>22983.72</v>
      </c>
      <c r="E119" s="13">
        <v>18830.14</v>
      </c>
      <c r="F119" s="3">
        <f>SUM(B119:E119)</f>
        <v>84517.24</v>
      </c>
    </row>
    <row r="120">
      <c r="A120" s="12" t="inlineStr">
        <is>
          <t xml:space="preserve">Difference (should be $0 = every dollar accounted for)</t>
        </is>
      </c>
      <c r="B120" s="3">
        <f>B118-B119</f>
        <v>0.0</v>
      </c>
      <c r="C120" s="3">
        <f>C118-C119</f>
        <v>0.0</v>
      </c>
      <c r="D120" s="3">
        <f>D118-D119</f>
        <v>0.0</v>
      </c>
      <c r="E120" s="3">
        <f>E118-E119</f>
        <v>0.0</v>
      </c>
      <c r="F120" s="3">
        <f>F118-F119</f>
        <v>0.0</v>
      </c>
    </row>
    <row r="122">
      <c r="A122" s="5" t="inlineStr">
        <is>
          <t xml:space="preserve">Key Bills at a Glance</t>
        </is>
      </c>
    </row>
    <row r="123">
      <c r="A123" s="15" t="inlineStr">
        <is>
          <t xml:space="preserve">Bill</t>
        </is>
      </c>
      <c r="B123" s="1" t="inlineStr">
        <is>
          <t xml:space="preserve">June 2026</t>
        </is>
      </c>
      <c r="C123" s="1" t="inlineStr">
        <is>
          <t xml:space="preserve">July 2026</t>
        </is>
      </c>
      <c r="D123" s="1" t="inlineStr">
        <is>
          <t xml:space="preserve">August 2026</t>
        </is>
      </c>
      <c r="E123" s="1" t="inlineStr">
        <is>
          <t xml:space="preserve">September 2026</t>
        </is>
      </c>
      <c r="F123" s="1" t="inlineStr">
        <is>
          <t xml:space="preserve">4-Month Total</t>
        </is>
      </c>
      <c r="G123" s="1" t="inlineStr">
        <is>
          <t xml:space="preserve">Monthly Avg</t>
        </is>
      </c>
    </row>
    <row r="124">
      <c r="A124" s="12" t="inlineStr">
        <is>
          <t xml:space="preserve">A&amp;D Mortgage</t>
        </is>
      </c>
      <c r="B124" s="3">
        <f>SUMIFS('All Transactions'!$F$5:$F$436,'All Transactions'!$D$5:$D$436,$A124,'All Transactions'!$A$5:$A$436,B$4)</f>
        <v>3411.1</v>
      </c>
      <c r="C124" s="3">
        <f>SUMIFS('All Transactions'!$F$5:$F$436,'All Transactions'!$D$5:$D$436,$A124,'All Transactions'!$A$5:$A$436,C$4)</f>
        <v>3411.1</v>
      </c>
      <c r="D124" s="3">
        <f>SUMIFS('All Transactions'!$F$5:$F$436,'All Transactions'!$D$5:$D$436,$A124,'All Transactions'!$A$5:$A$436,D$4)</f>
        <v>3411.1</v>
      </c>
      <c r="E124" s="3">
        <f>SUMIFS('All Transactions'!$F$5:$F$436,'All Transactions'!$D$5:$D$436,$A124,'All Transactions'!$A$5:$A$436,E$4)</f>
        <v>3411.1</v>
      </c>
      <c r="F124" s="3">
        <f>SUM(B124:E124)</f>
        <v>13644.4</v>
      </c>
      <c r="G124" s="3">
        <f>F124/4</f>
        <v>3411.1</v>
      </c>
    </row>
    <row r="125">
      <c r="A125" s="12" t="inlineStr">
        <is>
          <t xml:space="preserve">St. James Membership (Club)</t>
        </is>
      </c>
      <c r="B125" s="3">
        <f>SUMIFS('All Transactions'!$F$5:$F$436,'All Transactions'!$D$5:$D$436,$A125,'All Transactions'!$A$5:$A$436,B$4)</f>
        <v>1591.78</v>
      </c>
      <c r="C125" s="3">
        <f>SUMIFS('All Transactions'!$F$5:$F$436,'All Transactions'!$D$5:$D$436,$A125,'All Transactions'!$A$5:$A$436,C$4)</f>
        <v>1601.56</v>
      </c>
      <c r="D125" s="3">
        <f>SUMIFS('All Transactions'!$F$5:$F$436,'All Transactions'!$D$5:$D$436,$A125,'All Transactions'!$A$5:$A$436,D$4)</f>
        <v>1492.11</v>
      </c>
      <c r="E125" s="3">
        <f>SUMIFS('All Transactions'!$F$5:$F$436,'All Transactions'!$D$5:$D$436,$A125,'All Transactions'!$A$5:$A$436,E$4)</f>
        <v>1767.0</v>
      </c>
      <c r="F125" s="3">
        <f>SUM(B125:E125)</f>
        <v>6452.45</v>
      </c>
      <c r="G125" s="3">
        <f>F125/4</f>
        <v>1613.11</v>
      </c>
    </row>
    <row r="126">
      <c r="A126" s="12" t="inlineStr">
        <is>
          <t xml:space="preserve">St. James Plantation POA Dues</t>
        </is>
      </c>
      <c r="B126" s="3">
        <f>SUMIFS('All Transactions'!$F$5:$F$436,'All Transactions'!$D$5:$D$436,$A126,'All Transactions'!$A$5:$A$436,B$4)</f>
        <v>692.95</v>
      </c>
      <c r="C126" s="3">
        <f>SUMIFS('All Transactions'!$F$5:$F$436,'All Transactions'!$D$5:$D$436,$A126,'All Transactions'!$A$5:$A$436,C$4)</f>
        <v>0</v>
      </c>
      <c r="D126" s="3">
        <f>SUMIFS('All Transactions'!$F$5:$F$436,'All Transactions'!$D$5:$D$436,$A126,'All Transactions'!$A$5:$A$436,D$4)</f>
        <v>0</v>
      </c>
      <c r="E126" s="3">
        <f>SUMIFS('All Transactions'!$F$5:$F$436,'All Transactions'!$D$5:$D$436,$A126,'All Transactions'!$A$5:$A$436,E$4)</f>
        <v>0</v>
      </c>
      <c r="F126" s="3">
        <f>SUM(B126:E126)</f>
        <v>692.95</v>
      </c>
      <c r="G126" s="3">
        <f>F126/4</f>
        <v>173.24</v>
      </c>
    </row>
    <row r="127">
      <c r="A127" s="12" t="inlineStr">
        <is>
          <t xml:space="preserve">Allstate Insurance</t>
        </is>
      </c>
      <c r="B127" s="3">
        <f>SUMIFS('All Transactions'!$F$5:$F$436,'All Transactions'!$D$5:$D$436,$A127,'All Transactions'!$A$5:$A$436,B$4)</f>
        <v>360.42</v>
      </c>
      <c r="C127" s="3">
        <f>SUMIFS('All Transactions'!$F$5:$F$436,'All Transactions'!$D$5:$D$436,$A127,'All Transactions'!$A$5:$A$436,C$4)</f>
        <v>360.42</v>
      </c>
      <c r="D127" s="3">
        <f>SUMIFS('All Transactions'!$F$5:$F$436,'All Transactions'!$D$5:$D$436,$A127,'All Transactions'!$A$5:$A$436,D$4)</f>
        <v>475.42</v>
      </c>
      <c r="E127" s="3">
        <f>SUMIFS('All Transactions'!$F$5:$F$436,'All Transactions'!$D$5:$D$436,$A127,'All Transactions'!$A$5:$A$436,E$4)</f>
        <v>354.17</v>
      </c>
      <c r="F127" s="3">
        <f>SUM(B127:E127)</f>
        <v>1550.43</v>
      </c>
      <c r="G127" s="3">
        <f>F127/4</f>
        <v>387.61</v>
      </c>
    </row>
    <row r="128">
      <c r="A128" s="12" t="inlineStr">
        <is>
          <t xml:space="preserve">Life Insurance (Lincoln National)</t>
        </is>
      </c>
      <c r="B128" s="3">
        <f>SUMIFS('All Transactions'!$F$5:$F$436,'All Transactions'!$D$5:$D$436,$A128,'All Transactions'!$A$5:$A$436,B$4)</f>
        <v>79.21</v>
      </c>
      <c r="C128" s="3">
        <f>SUMIFS('All Transactions'!$F$5:$F$436,'All Transactions'!$D$5:$D$436,$A128,'All Transactions'!$A$5:$A$436,C$4)</f>
        <v>73.61</v>
      </c>
      <c r="D128" s="3">
        <f>SUMIFS('All Transactions'!$F$5:$F$436,'All Transactions'!$D$5:$D$436,$A128,'All Transactions'!$A$5:$A$436,D$4)</f>
        <v>73.61</v>
      </c>
      <c r="E128" s="3">
        <f>SUMIFS('All Transactions'!$F$5:$F$436,'All Transactions'!$D$5:$D$436,$A128,'All Transactions'!$A$5:$A$436,E$4)</f>
        <v>73.61</v>
      </c>
      <c r="F128" s="3">
        <f>SUM(B128:E128)</f>
        <v>300.04</v>
      </c>
      <c r="G128" s="3">
        <f>F128/4</f>
        <v>75.01</v>
      </c>
    </row>
    <row r="129">
      <c r="A129" s="12" t="inlineStr">
        <is>
          <t xml:space="preserve">Banner Life Insurance</t>
        </is>
      </c>
      <c r="B129" s="3">
        <f>SUMIFS('All Transactions'!$F$5:$F$436,'All Transactions'!$D$5:$D$436,$A129,'All Transactions'!$A$5:$A$436,B$4)</f>
        <v>710.06</v>
      </c>
      <c r="C129" s="3">
        <f>SUMIFS('All Transactions'!$F$5:$F$436,'All Transactions'!$D$5:$D$436,$A129,'All Transactions'!$A$5:$A$436,C$4)</f>
        <v>710.06</v>
      </c>
      <c r="D129" s="3">
        <f>SUMIFS('All Transactions'!$F$5:$F$436,'All Transactions'!$D$5:$D$436,$A129,'All Transactions'!$A$5:$A$436,D$4)</f>
        <v>710.06</v>
      </c>
      <c r="E129" s="3">
        <f>SUMIFS('All Transactions'!$F$5:$F$436,'All Transactions'!$D$5:$D$436,$A129,'All Transactions'!$A$5:$A$436,E$4)</f>
        <v>710.06</v>
      </c>
      <c r="F129" s="3">
        <f>SUM(B129:E129)</f>
        <v>2840.24</v>
      </c>
      <c r="G129" s="3">
        <f>F129/4</f>
        <v>710.06</v>
      </c>
    </row>
    <row r="130">
      <c r="A130" s="12" t="inlineStr">
        <is>
          <t xml:space="preserve">Verizon Wireless</t>
        </is>
      </c>
      <c r="B130" s="3">
        <f>SUMIFS('All Transactions'!$F$5:$F$436,'All Transactions'!$D$5:$D$436,$A130,'All Transactions'!$A$5:$A$436,B$4)</f>
        <v>294.57</v>
      </c>
      <c r="C130" s="3">
        <f>SUMIFS('All Transactions'!$F$5:$F$436,'All Transactions'!$D$5:$D$436,$A130,'All Transactions'!$A$5:$A$436,C$4)</f>
        <v>294.8</v>
      </c>
      <c r="D130" s="3">
        <f>SUMIFS('All Transactions'!$F$5:$F$436,'All Transactions'!$D$5:$D$436,$A130,'All Transactions'!$A$5:$A$436,D$4)</f>
        <v>436.02</v>
      </c>
      <c r="E130" s="3">
        <f>SUMIFS('All Transactions'!$F$5:$F$436,'All Transactions'!$D$5:$D$436,$A130,'All Transactions'!$A$5:$A$436,E$4)</f>
        <v>386.85</v>
      </c>
      <c r="F130" s="3">
        <f>SUM(B130:E130)</f>
        <v>1412.24</v>
      </c>
      <c r="G130" s="3">
        <f>F130/4</f>
        <v>353.06</v>
      </c>
    </row>
    <row r="131">
      <c r="A131" s="12" t="inlineStr">
        <is>
          <t xml:space="preserve">Utility – Electric (BEMC)</t>
        </is>
      </c>
      <c r="B131" s="3">
        <f>SUMIFS('All Transactions'!$F$5:$F$436,'All Transactions'!$D$5:$D$436,$A131,'All Transactions'!$A$5:$A$436,B$4)</f>
        <v>0</v>
      </c>
      <c r="C131" s="3">
        <f>SUMIFS('All Transactions'!$F$5:$F$436,'All Transactions'!$D$5:$D$436,$A131,'All Transactions'!$A$5:$A$436,C$4)</f>
        <v>336.35</v>
      </c>
      <c r="D131" s="3">
        <f>SUMIFS('All Transactions'!$F$5:$F$436,'All Transactions'!$D$5:$D$436,$A131,'All Transactions'!$A$5:$A$436,D$4)</f>
        <v>406.96</v>
      </c>
      <c r="E131" s="3">
        <f>SUMIFS('All Transactions'!$F$5:$F$436,'All Transactions'!$D$5:$D$436,$A131,'All Transactions'!$A$5:$A$436,E$4)</f>
        <v>419.66</v>
      </c>
      <c r="F131" s="3">
        <f>SUM(B131:E131)</f>
        <v>1162.97</v>
      </c>
      <c r="G131" s="3">
        <f>F131/4</f>
        <v>290.74</v>
      </c>
    </row>
    <row r="132">
      <c r="A132" s="12" t="inlineStr">
        <is>
          <t xml:space="preserve">Utility – Water/Sewer (Brunswick County)</t>
        </is>
      </c>
      <c r="B132" s="3">
        <f>SUMIFS('All Transactions'!$F$5:$F$436,'All Transactions'!$D$5:$D$436,$A132,'All Transactions'!$A$5:$A$436,B$4)</f>
        <v>78.84</v>
      </c>
      <c r="C132" s="3">
        <f>SUMIFS('All Transactions'!$F$5:$F$436,'All Transactions'!$D$5:$D$436,$A132,'All Transactions'!$A$5:$A$436,C$4)</f>
        <v>0</v>
      </c>
      <c r="D132" s="3">
        <f>SUMIFS('All Transactions'!$F$5:$F$436,'All Transactions'!$D$5:$D$436,$A132,'All Transactions'!$A$5:$A$436,D$4)</f>
        <v>179.33</v>
      </c>
      <c r="E132" s="3">
        <f>SUMIFS('All Transactions'!$F$5:$F$436,'All Transactions'!$D$5:$D$436,$A132,'All Transactions'!$A$5:$A$436,E$4)</f>
        <v>84.26</v>
      </c>
      <c r="F132" s="3">
        <f>SUM(B132:E132)</f>
        <v>342.43</v>
      </c>
      <c r="G132" s="3">
        <f>F132/4</f>
        <v>85.61</v>
      </c>
    </row>
    <row r="133">
      <c r="A133" s="12" t="inlineStr">
        <is>
          <t xml:space="preserve">Utilities total (BEMC + Brunswick County)</t>
        </is>
      </c>
      <c r="B133" s="3">
        <f>SUMIFS('All Transactions'!$F$5:$F$436,'All Transactions'!$E$5:$E$436,"Utilities",'All Transactions'!$A$5:$A$436,B$4)</f>
        <v>78.84</v>
      </c>
      <c r="C133" s="3">
        <f>SUMIFS('All Transactions'!$F$5:$F$436,'All Transactions'!$E$5:$E$436,"Utilities",'All Transactions'!$A$5:$A$436,C$4)</f>
        <v>336.35</v>
      </c>
      <c r="D133" s="3">
        <f>SUMIFS('All Transactions'!$F$5:$F$436,'All Transactions'!$E$5:$E$436,"Utilities",'All Transactions'!$A$5:$A$436,D$4)</f>
        <v>586.29</v>
      </c>
      <c r="E133" s="3">
        <f>SUMIFS('All Transactions'!$F$5:$F$436,'All Transactions'!$E$5:$E$436,"Utilities",'All Transactions'!$A$5:$A$436,E$4)</f>
        <v>503.92</v>
      </c>
      <c r="F133" s="3">
        <f>SUM(B133:E133)</f>
        <v>1505.4</v>
      </c>
      <c r="G133" s="3">
        <f>F133/4</f>
        <v>376.35</v>
      </c>
    </row>
    <row r="134">
      <c r="A134" s="12" t="inlineStr">
        <is>
          <t xml:space="preserve">Internet – Focus Broadband</t>
        </is>
      </c>
      <c r="B134" s="3">
        <f>SUMIFS('All Transactions'!$F$5:$F$436,'All Transactions'!$D$5:$D$436,$A134,'All Transactions'!$A$5:$A$436,B$4)</f>
        <v>80.79</v>
      </c>
      <c r="C134" s="3">
        <f>SUMIFS('All Transactions'!$F$5:$F$436,'All Transactions'!$D$5:$D$436,$A134,'All Transactions'!$A$5:$A$436,C$4)</f>
        <v>0</v>
      </c>
      <c r="D134" s="3">
        <f>SUMIFS('All Transactions'!$F$5:$F$436,'All Transactions'!$D$5:$D$436,$A134,'All Transactions'!$A$5:$A$436,D$4)</f>
        <v>161.58</v>
      </c>
      <c r="E134" s="3">
        <f>SUMIFS('All Transactions'!$F$5:$F$436,'All Transactions'!$D$5:$D$436,$A134,'All Transactions'!$A$5:$A$436,E$4)</f>
        <v>80.79</v>
      </c>
      <c r="F134" s="3">
        <f>SUM(B134:E134)</f>
        <v>323.16</v>
      </c>
      <c r="G134" s="3">
        <f>F134/4</f>
        <v>80.79</v>
      </c>
    </row>
    <row r="135">
      <c r="A135" s="12" t="inlineStr">
        <is>
          <t xml:space="preserve">Restaurants &amp; Takeout</t>
        </is>
      </c>
      <c r="B135" s="3">
        <f>SUMIFS('All Transactions'!$F$5:$F$436,'All Transactions'!$D$5:$D$436,$A135,'All Transactions'!$A$5:$A$436,B$4)</f>
        <v>1019.45</v>
      </c>
      <c r="C135" s="3">
        <f>SUMIFS('All Transactions'!$F$5:$F$436,'All Transactions'!$D$5:$D$436,$A135,'All Transactions'!$A$5:$A$436,C$4)</f>
        <v>935.1</v>
      </c>
      <c r="D135" s="3">
        <f>SUMIFS('All Transactions'!$F$5:$F$436,'All Transactions'!$D$5:$D$436,$A135,'All Transactions'!$A$5:$A$436,D$4)</f>
        <v>962.62</v>
      </c>
      <c r="E135" s="3">
        <f>SUMIFS('All Transactions'!$F$5:$F$436,'All Transactions'!$D$5:$D$436,$A135,'All Transactions'!$A$5:$A$436,E$4)</f>
        <v>872.56</v>
      </c>
      <c r="F135" s="3">
        <f>SUM(B135:E135)</f>
        <v>3789.73</v>
      </c>
      <c r="G135" s="3">
        <f>F135/4</f>
        <v>947.43</v>
      </c>
    </row>
    <row r="136">
      <c r="A136" s="12" t="inlineStr">
        <is>
          <t xml:space="preserve">Gas &amp; Convenience Stores</t>
        </is>
      </c>
      <c r="B136" s="3">
        <f>SUMIFS('All Transactions'!$F$5:$F$436,'All Transactions'!$D$5:$D$436,$A136,'All Transactions'!$A$5:$A$436,B$4)</f>
        <v>108.9</v>
      </c>
      <c r="C136" s="3">
        <f>SUMIFS('All Transactions'!$F$5:$F$436,'All Transactions'!$D$5:$D$436,$A136,'All Transactions'!$A$5:$A$436,C$4)</f>
        <v>277.87</v>
      </c>
      <c r="D136" s="3">
        <f>SUMIFS('All Transactions'!$F$5:$F$436,'All Transactions'!$D$5:$D$436,$A136,'All Transactions'!$A$5:$A$436,D$4)</f>
        <v>167.24</v>
      </c>
      <c r="E136" s="3">
        <f>SUMIFS('All Transactions'!$F$5:$F$436,'All Transactions'!$D$5:$D$436,$A136,'All Transactions'!$A$5:$A$436,E$4)</f>
        <v>238.98</v>
      </c>
      <c r="F136" s="3">
        <f>SUM(B136:E136)</f>
        <v>792.99</v>
      </c>
      <c r="G136" s="3">
        <f>F136/4</f>
        <v>198.25</v>
      </c>
    </row>
    <row r="137">
      <c r="A137" s="12" t="inlineStr">
        <is>
          <t xml:space="preserve">Groceries</t>
        </is>
      </c>
      <c r="B137" s="3">
        <f>SUMIFS('All Transactions'!$F$5:$F$436,'All Transactions'!$D$5:$D$436,$A137,'All Transactions'!$A$5:$A$436,B$4)</f>
        <v>1529.75</v>
      </c>
      <c r="C137" s="3">
        <f>SUMIFS('All Transactions'!$F$5:$F$436,'All Transactions'!$D$5:$D$436,$A137,'All Transactions'!$A$5:$A$436,C$4)</f>
        <v>1279.24</v>
      </c>
      <c r="D137" s="3">
        <f>SUMIFS('All Transactions'!$F$5:$F$436,'All Transactions'!$D$5:$D$436,$A137,'All Transactions'!$A$5:$A$436,D$4)</f>
        <v>1190.12</v>
      </c>
      <c r="E137" s="3">
        <f>SUMIFS('All Transactions'!$F$5:$F$436,'All Transactions'!$D$5:$D$436,$A137,'All Transactions'!$A$5:$A$436,E$4)</f>
        <v>1202.5</v>
      </c>
      <c r="F137" s="3">
        <f>SUM(B137:E137)</f>
        <v>5201.61</v>
      </c>
      <c r="G137" s="3">
        <f>F137/4</f>
        <v>1300.4</v>
      </c>
    </row>
    <row r="138">
      <c r="A138" s="12" t="inlineStr">
        <is>
          <t xml:space="preserve">Retail (all retailers)</t>
        </is>
      </c>
      <c r="B138" s="3">
        <f>SUMIFS('All Transactions'!$F$5:$F$436,'All Transactions'!$E$5:$E$436,"Retail",'All Transactions'!$A$5:$A$436,B$4)</f>
        <v>815.42</v>
      </c>
      <c r="C138" s="3">
        <f>SUMIFS('All Transactions'!$F$5:$F$436,'All Transactions'!$E$5:$E$436,"Retail",'All Transactions'!$A$5:$A$436,C$4)</f>
        <v>1150.18</v>
      </c>
      <c r="D138" s="3">
        <f>SUMIFS('All Transactions'!$F$5:$F$436,'All Transactions'!$E$5:$E$436,"Retail",'All Transactions'!$A$5:$A$436,D$4)</f>
        <v>2380.47</v>
      </c>
      <c r="E138" s="3">
        <f>SUMIFS('All Transactions'!$F$5:$F$436,'All Transactions'!$E$5:$E$436,"Retail",'All Transactions'!$A$5:$A$436,E$4)</f>
        <v>333.11</v>
      </c>
      <c r="F138" s="3">
        <f>SUM(B138:E138)</f>
        <v>4679.18</v>
      </c>
      <c r="G138" s="3">
        <f>F138/4</f>
        <v>1169.8</v>
      </c>
    </row>
    <row r="139">
      <c r="A139" s="12" t="inlineStr">
        <is>
          <t xml:space="preserve">Streaming (all services)</t>
        </is>
      </c>
      <c r="B139" s="3">
        <f>SUMIFS('All Transactions'!$F$5:$F$436,'All Transactions'!$E$5:$E$436,"Streaming",'All Transactions'!$A$5:$A$436,B$4)</f>
        <v>188.8</v>
      </c>
      <c r="C139" s="3">
        <f>SUMIFS('All Transactions'!$F$5:$F$436,'All Transactions'!$E$5:$E$436,"Streaming",'All Transactions'!$A$5:$A$436,C$4)</f>
        <v>201.6</v>
      </c>
      <c r="D139" s="3">
        <f>SUMIFS('All Transactions'!$F$5:$F$436,'All Transactions'!$E$5:$E$436,"Streaming",'All Transactions'!$A$5:$A$436,D$4)</f>
        <v>158.35</v>
      </c>
      <c r="E139" s="3">
        <f>SUMIFS('All Transactions'!$F$5:$F$436,'All Transactions'!$E$5:$E$436,"Streaming",'All Transactions'!$A$5:$A$436,E$4)</f>
        <v>188.98</v>
      </c>
      <c r="F139" s="3">
        <f>SUM(B139:E139)</f>
        <v>737.73</v>
      </c>
      <c r="G139" s="3">
        <f>F139/4</f>
        <v>184.43</v>
      </c>
    </row>
    <row r="141">
      <c r="A141" s="5" t="inlineStr">
        <is>
          <t xml:space="preserve">Notes &amp; assumptions</t>
        </is>
      </c>
    </row>
    <row r="142" ht="27" customHeight="1">
      <c r="A142" s="11" t="inlineStr">
        <is>
          <t xml:space="preserve">• "Month" = the bank statement period (June stmt 5/27–6/24, July 6/25–7/23, Aug 7/24–8/25, Sept 8/26–9/24), not the calendar month.</t>
        </is>
      </c>
    </row>
    <row r="143" ht="27" customHeight="1">
      <c r="A143" s="11" t="inlineStr">
        <is>
          <t xml:space="preserve">• Statement totals in blue are typed from each statement's "Withdrawals/Subtractions" line; the Difference row proves every withdrawal is accounted for. "Autobks*Nextgen" = the yard company (Home group).</t>
        </is>
      </c>
    </row>
    <row r="144" ht="27" customHeight="1">
      <c r="A144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45" ht="27" customHeight="1">
      <c r="A145" s="11" t="inlineStr">
        <is>
          <t xml:space="preserve">• Not counted as spending (per your instructions): WTW health premium ($2,576/mo, reimbursed by Via Benefits), American Express credit card payoffs, Sloane Realty, checks #101/102/103/518/520, and a $3.26 transfer to your own Wells Fargo account. They are listed in their own section so the sheet still ties to the bank statement.</t>
        </is>
      </c>
    </row>
    <row r="146" ht="27" customHeight="1">
      <c r="A146" s="11" t="inlineStr">
        <is>
          <t xml:space="preserve">• Utilities = BEMC (Brunswick Electric Membership Corp, electric) and Brunswick County Utilities (water/sewer, incl. $2.95 online-payment fee). Verizon Wireless and Focus Broadband (internet) are in Phone &amp; Internet.</t>
        </is>
      </c>
    </row>
    <row r="147" ht="27" customHeight="1">
      <c r="A147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48" ht="27" customHeight="1">
      <c r="A148" s="11" t="inlineStr">
        <is>
          <t xml:space="preserve">• Streaming: one line per service. No Netflix charges appear on these statements (it may be billed to a credit card). The Sept 13 Google YouTube TV charge ($43.43) is an extra charge on top of the regular $89. Apple.com/Bill charges are in Software &amp; Online Subscriptions because the statement does not say which Apple service they are for. Retail: one line per retailer. Belk appears only as Belk store-card payments (the store purchases themselves are on the card). Walmart may include some groceries. Gas &amp; Convenience includes everything bought at gas stations (fuel and snacks can't be separated). Small hospital-cafeteria charges (Granville Med, Duke) are counted as Restaurants.</t>
        </is>
      </c>
    </row>
  </sheetData>
  <mergeCells count="7">
    <mergeCell ref="A142:G142"/>
    <mergeCell ref="A143:G143"/>
    <mergeCell ref="A144:G144"/>
    <mergeCell ref="A145:G145"/>
    <mergeCell ref="A146:G146"/>
    <mergeCell ref="A147:G147"/>
    <mergeCell ref="A148:G148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St. James Membership (Club)</t>
        </is>
      </c>
      <c r="H5" s="3">
        <f>SUMIF($C$4:$C$119,G5,$E$4:$E$119)</f>
        <v>1591.78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Groceries</t>
        </is>
      </c>
      <c r="H6" s="3">
        <f>SUMIF($C$4:$C$119,G6,$E$4:$E$119)</f>
        <v>1529.75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Restaurants &amp; Takeout</t>
        </is>
      </c>
      <c r="H7" s="3">
        <f>SUMIF($C$4:$C$119,G7,$E$4:$E$119)</f>
        <v>1019.45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Retail – Belk (store card payments)</t>
        </is>
      </c>
      <c r="D8" s="2" t="inlineStr">
        <is>
          <t xml:space="preserve">Retail</t>
        </is>
      </c>
      <c r="E8" s="3">
        <v>386.69</v>
      </c>
      <c r="G8" s="2" t="inlineStr">
        <is>
          <t xml:space="preserve">Banner Life Insurance</t>
        </is>
      </c>
      <c r="H8" s="3">
        <f>SUMIF($C$4:$C$119,G8,$E$4:$E$119)</f>
        <v>710.06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St. James Plantation POA Dues</t>
        </is>
      </c>
      <c r="H9" s="3">
        <f>SUMIF($C$4:$C$119,G9,$E$4:$E$119)</f>
        <v>692.95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– YouTube TV (Google)</t>
        </is>
      </c>
      <c r="D10" s="2" t="inlineStr">
        <is>
          <t xml:space="preserve">Streaming</t>
        </is>
      </c>
      <c r="E10" s="3">
        <v>11.78</v>
      </c>
      <c r="G10" s="2" t="inlineStr">
        <is>
          <t xml:space="preserve">Retail – Belk (store card payments)</t>
        </is>
      </c>
      <c r="H10" s="3">
        <f>SUMIF($C$4:$C$119,G10,$E$4:$E$119)</f>
        <v>386.69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– Disney (via Roku)</t>
        </is>
      </c>
      <c r="D11" s="2" t="inlineStr">
        <is>
          <t xml:space="preserve">Streaming</t>
        </is>
      </c>
      <c r="E11" s="3">
        <v>20.27</v>
      </c>
      <c r="G11" s="2" t="inlineStr">
        <is>
          <t xml:space="preserve">Allstate Insurance</t>
        </is>
      </c>
      <c r="H11" s="3">
        <f>SUMIF($C$4:$C$119,G11,$E$4:$E$119)</f>
        <v>360.42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Groceries</t>
        </is>
      </c>
      <c r="D12" s="2" t="inlineStr">
        <is>
          <t xml:space="preserve">Food</t>
        </is>
      </c>
      <c r="E12" s="3">
        <v>125.08</v>
      </c>
      <c r="G12" s="2" t="inlineStr">
        <is>
          <t xml:space="preserve">Verizon Wireless</t>
        </is>
      </c>
      <c r="H12" s="3">
        <f>SUMIF($C$4:$C$119,G12,$E$4:$E$119)</f>
        <v>294.57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Health Insurance – Blue Cross NC</t>
        </is>
      </c>
      <c r="H13" s="3">
        <f>SUMIF($C$4:$C$119,G13,$E$4:$E$119)</f>
        <v>216.25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Personal Care (Hair Salon, Beauty)</t>
        </is>
      </c>
      <c r="H14" s="3">
        <f>SUMIF($C$4:$C$119,G14,$E$4:$E$119)</f>
        <v>182.5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Retail – Local shops (Hippie Chick, Southport Spices, Mad River, Coastal Carolina)</t>
        </is>
      </c>
      <c r="D15" s="2" t="inlineStr">
        <is>
          <t xml:space="preserve">Retail</t>
        </is>
      </c>
      <c r="E15" s="3">
        <v>41.63</v>
      </c>
      <c r="G15" s="2" t="inlineStr">
        <is>
          <t xml:space="preserve">Student Loan (Dept of Education)</t>
        </is>
      </c>
      <c r="H15" s="3">
        <f>SUMIF($C$4:$C$119,G15,$E$4:$E$119)</f>
        <v>160.37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Medical &amp; Pharmacy</t>
        </is>
      </c>
      <c r="H16" s="3">
        <f>SUMIF($C$4:$C$119,G16,$E$4:$E$119)</f>
        <v>160.07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Software &amp; Online Subscriptions</t>
        </is>
      </c>
      <c r="H17" s="3">
        <f>SUMIF($C$4:$C$119,G17,$E$4:$E$119)</f>
        <v>141.73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Retail – Bath &amp; Body Works</t>
        </is>
      </c>
      <c r="D18" s="2" t="inlineStr">
        <is>
          <t xml:space="preserve">Retail</t>
        </is>
      </c>
      <c r="E18" s="3">
        <v>51.31</v>
      </c>
      <c r="G18" s="2" t="inlineStr">
        <is>
          <t xml:space="preserve">Retail – Ulta Beauty</t>
        </is>
      </c>
      <c r="H18" s="3">
        <f>SUMIF($C$4:$C$119,G18,$E$4:$E$119)</f>
        <v>134.71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Retail – Ulta Beauty</t>
        </is>
      </c>
      <c r="D19" s="2" t="inlineStr">
        <is>
          <t xml:space="preserve">Retail</t>
        </is>
      </c>
      <c r="E19" s="3">
        <v>97.35</v>
      </c>
      <c r="G19" s="2" t="inlineStr">
        <is>
          <t xml:space="preserve">Gas &amp; Convenience Stores</t>
        </is>
      </c>
      <c r="H19" s="3">
        <f>SUMIF($C$4:$C$119,G19,$E$4:$E$119)</f>
        <v>108.9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Retail – Local shops (Hippie Chick, Southport Spices, Mad River, Coastal Carolina)</t>
        </is>
      </c>
      <c r="H20" s="3">
        <f>SUMIF($C$4:$C$119,G20,$E$4:$E$119)</f>
        <v>108.03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Groceries</t>
        </is>
      </c>
      <c r="D21" s="2" t="inlineStr">
        <is>
          <t xml:space="preserve">Food</t>
        </is>
      </c>
      <c r="E21" s="3">
        <v>37.15</v>
      </c>
      <c r="G21" s="2" t="inlineStr">
        <is>
          <t xml:space="preserve">Travel (Lyft, Hotel)</t>
        </is>
      </c>
      <c r="H21" s="3">
        <f>SUMIF($C$4:$C$119,G21,$E$4:$E$119)</f>
        <v>102.65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Excluded</t>
        </is>
      </c>
      <c r="E22" s="3">
        <v>1800.0</v>
      </c>
      <c r="G22" s="2" t="inlineStr">
        <is>
          <t xml:space="preserve">Streaming – YouTube TV (Google)</t>
        </is>
      </c>
      <c r="H22" s="3">
        <f>SUMIF($C$4:$C$119,G22,$E$4:$E$119)</f>
        <v>100.78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Internet – Focus Broadband</t>
        </is>
      </c>
      <c r="H23" s="3">
        <f>SUMIF($C$4:$C$119,G23,$E$4:$E$119)</f>
        <v>80.79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Life Insurance (Lincoln National)</t>
        </is>
      </c>
      <c r="H24" s="3">
        <f>SUMIF($C$4:$C$119,G24,$E$4:$E$119)</f>
        <v>79.21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Utility – Water/Sewer (Brunswick County)</t>
        </is>
      </c>
      <c r="H25" s="3">
        <f>SUMIF($C$4:$C$119,G25,$E$4:$E$119)</f>
        <v>78.84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Transfers to People (Venmo/Zelle)</t>
        </is>
      </c>
      <c r="H26" s="3">
        <f>SUMIF($C$4:$C$119,G26,$E$4:$E$119)</f>
        <v>75.0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Dental Insurance – Delta Dental</t>
        </is>
      </c>
      <c r="H27" s="3">
        <f>SUMIF($C$4:$C$119,G27,$E$4:$E$119)</f>
        <v>69.36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Yard Company (NextGen)</t>
        </is>
      </c>
      <c r="H28" s="3">
        <f>SUMIF($C$4:$C$119,G28,$E$4:$E$119)</f>
        <v>60.0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2" t="inlineStr">
        <is>
          <t xml:space="preserve">Retail – Target</t>
        </is>
      </c>
      <c r="H29" s="3">
        <f>SUMIF($C$4:$C$119,G29,$E$4:$E$119)</f>
        <v>58.98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Groceries</t>
        </is>
      </c>
      <c r="D30" s="2" t="inlineStr">
        <is>
          <t xml:space="preserve">Food</t>
        </is>
      </c>
      <c r="E30" s="3">
        <v>225.23</v>
      </c>
      <c r="G30" s="2" t="inlineStr">
        <is>
          <t xml:space="preserve">Retail – Bath &amp; Body Works</t>
        </is>
      </c>
      <c r="H30" s="3">
        <f>SUMIF($C$4:$C$119,G30,$E$4:$E$119)</f>
        <v>51.31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2" t="inlineStr">
        <is>
          <t xml:space="preserve">Retail – Ross</t>
        </is>
      </c>
      <c r="H31" s="3">
        <f>SUMIF($C$4:$C$119,G31,$E$4:$E$119)</f>
        <v>48.03</v>
      </c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– Frndly TV</t>
        </is>
      </c>
      <c r="D32" s="2" t="inlineStr">
        <is>
          <t xml:space="preserve">Streaming</t>
        </is>
      </c>
      <c r="E32" s="3">
        <v>22.41</v>
      </c>
      <c r="G32" s="2" t="inlineStr">
        <is>
          <t xml:space="preserve">Retail – Lowe's (home improvement)</t>
        </is>
      </c>
      <c r="H32" s="3">
        <f>SUMIF($C$4:$C$119,G32,$E$4:$E$119)</f>
        <v>27.67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Personal Care (Hair Salon, Beauty)</t>
        </is>
      </c>
      <c r="D33" s="2" t="inlineStr">
        <is>
          <t xml:space="preserve">Personal</t>
        </is>
      </c>
      <c r="E33" s="3">
        <v>150.0</v>
      </c>
      <c r="G33" s="2" t="inlineStr">
        <is>
          <t xml:space="preserve">Streaming – Frndly TV</t>
        </is>
      </c>
      <c r="H33" s="3">
        <f>SUMIF($C$4:$C$119,G33,$E$4:$E$119)</f>
        <v>22.41</v>
      </c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  <c r="G34" s="2" t="inlineStr">
        <is>
          <t xml:space="preserve">Streaming – Disney (via Roku)</t>
        </is>
      </c>
      <c r="H34" s="3">
        <f>SUMIF($C$4:$C$119,G34,$E$4:$E$119)</f>
        <v>20.27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Excluded</t>
        </is>
      </c>
      <c r="E35" s="3">
        <v>830.0</v>
      </c>
      <c r="G35" s="2" t="inlineStr">
        <is>
          <t xml:space="preserve">Streaming – HBO Max</t>
        </is>
      </c>
      <c r="H35" s="3">
        <f>SUMIF($C$4:$C$119,G35,$E$4:$E$119)</f>
        <v>19.74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  <c r="G36" s="2" t="inlineStr">
        <is>
          <t xml:space="preserve">Streaming – ESPN (Sept billed as Disney Plus)</t>
        </is>
      </c>
      <c r="H36" s="3">
        <f>SUMIF($C$4:$C$119,G36,$E$4:$E$119)</f>
        <v>13.87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  <c r="G37" s="2" t="inlineStr">
        <is>
          <t xml:space="preserve">Streaming – Peacock (via Roku)</t>
        </is>
      </c>
      <c r="H37" s="3">
        <f>SUMIF($C$4:$C$119,G37,$E$4:$E$119)</f>
        <v>11.73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Retail – Lowe's (home improvement)</t>
        </is>
      </c>
      <c r="D38" s="2" t="inlineStr">
        <is>
          <t xml:space="preserve">Retail</t>
        </is>
      </c>
      <c r="E38" s="3">
        <v>27.67</v>
      </c>
      <c r="G38" s="2" t="inlineStr">
        <is>
          <t xml:space="preserve">Tolls &amp; Parking</t>
        </is>
      </c>
      <c r="H38" s="3">
        <f>SUMIF($C$4:$C$119,G38,$E$4:$E$119)</f>
        <v>5.84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WTW Health Premium (reimbursed by Via Benefits)</t>
        </is>
      </c>
      <c r="D39" s="2" t="inlineStr">
        <is>
          <t xml:space="preserve">Excluded</t>
        </is>
      </c>
      <c r="E39" s="3">
        <v>2576.0</v>
      </c>
      <c r="G39" s="8" t="inlineStr">
        <is>
          <t xml:space="preserve">Total spending</t>
        </is>
      </c>
      <c r="H39" s="9">
        <f>SUM(H4:H38)</f>
        <v>12135.81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  <c r="G41" s="7" t="inlineStr">
        <is>
          <t xml:space="preserve">Not counted as spending</t>
        </is>
      </c>
      <c r="H41" s="7"/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  <c r="G42" s="2" t="inlineStr">
        <is>
          <t xml:space="preserve">Checks Written (payee not shown)</t>
        </is>
      </c>
      <c r="H42" s="3">
        <f>SUMIF($C$4:$C$119,G42,$E$4:$E$119)</f>
        <v>2630.0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  <c r="G43" s="2" t="inlineStr">
        <is>
          <t xml:space="preserve">WTW Health Premium (reimbursed by Via Benefits)</t>
        </is>
      </c>
      <c r="H43" s="3">
        <f>SUMIF($C$4:$C$119,G43,$E$4:$E$119)</f>
        <v>2576.0</v>
      </c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Retail – Ross</t>
        </is>
      </c>
      <c r="D51" s="2" t="inlineStr">
        <is>
          <t xml:space="preserve">Retail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Retail – Ulta Beauty</t>
        </is>
      </c>
      <c r="D52" s="2" t="inlineStr">
        <is>
          <t xml:space="preserve">Retail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Groceries</t>
        </is>
      </c>
      <c r="D57" s="2" t="inlineStr">
        <is>
          <t xml:space="preserve">Food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Groceries</t>
        </is>
      </c>
      <c r="D64" s="2" t="inlineStr">
        <is>
          <t xml:space="preserve">Food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– ESPN (Sept billed as Disney Plus)</t>
        </is>
      </c>
      <c r="D65" s="2" t="inlineStr">
        <is>
          <t xml:space="preserve">Streaming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Debt Payments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Groceries</t>
        </is>
      </c>
      <c r="D69" s="2" t="inlineStr">
        <is>
          <t xml:space="preserve">Food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Groceries</t>
        </is>
      </c>
      <c r="D74" s="2" t="inlineStr">
        <is>
          <t xml:space="preserve">Food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Groceries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Groceries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Retail – Local shops (Hippie Chick, Southport Spices, Mad River, Coastal Carolina)</t>
        </is>
      </c>
      <c r="D82" s="2" t="inlineStr">
        <is>
          <t xml:space="preserve">Retail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Retail – Local shops (Hippie Chick, Southport Spices, Mad River, Coastal Carolina)</t>
        </is>
      </c>
      <c r="D83" s="2" t="inlineStr">
        <is>
          <t xml:space="preserve">Retail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Groceries</t>
        </is>
      </c>
      <c r="D84" s="2" t="inlineStr">
        <is>
          <t xml:space="preserve">Food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Retail – Target</t>
        </is>
      </c>
      <c r="D85" s="2" t="inlineStr">
        <is>
          <t xml:space="preserve">Retail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– Peacock (via Roku)</t>
        </is>
      </c>
      <c r="D110" s="2" t="inlineStr">
        <is>
          <t xml:space="preserve">Streaming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Medical &amp;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– HBO Max</t>
        </is>
      </c>
      <c r="D112" s="2" t="inlineStr">
        <is>
          <t xml:space="preserve">Streaming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Medical &amp;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Groceries</t>
        </is>
      </c>
      <c r="D114" s="2" t="inlineStr">
        <is>
          <t xml:space="preserve">Food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Phone &amp; Internet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Yard Company (NextGen)</t>
        </is>
      </c>
      <c r="D118" s="2" t="inlineStr">
        <is>
          <t xml:space="preserve">Home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Personal Care (Hair Salon, Beauty)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spending</t>
        </is>
      </c>
      <c r="E120" s="9">
        <f>SUMIF(D4:D119,"&lt;&gt;Excluded",E4:E119)</f>
        <v>12135.81</v>
      </c>
    </row>
    <row r="121">
      <c r="D121" s="7" t="inlineStr">
        <is>
          <t xml:space="preserve">Not counted (Excluded)</t>
        </is>
      </c>
      <c r="E121" s="6">
        <f>SUMIF(D4:D119,"Excluded",E4:E119)</f>
        <v>5206.0</v>
      </c>
    </row>
  </sheetData>
  <autoFilter ref="A3:E119"/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A&amp;D Mortgage</t>
        </is>
      </c>
      <c r="H4" s="3">
        <f>SUMIF($C$4:$C$127,G4,$E$4:$E$127)</f>
        <v>3411.1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St. James Membership (Club)</t>
        </is>
      </c>
      <c r="H5" s="3">
        <f>SUMIF($C$4:$C$127,G5,$E$4:$E$127)</f>
        <v>1601.56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Groceries</t>
        </is>
      </c>
      <c r="H6" s="3">
        <f>SUMIF($C$4:$C$127,G6,$E$4:$E$127)</f>
        <v>1279.24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Retail – Belk (store card payments)</t>
        </is>
      </c>
      <c r="H7" s="3">
        <f>SUMIF($C$4:$C$127,G7,$E$4:$E$127)</f>
        <v>948.04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– Hulu</t>
        </is>
      </c>
      <c r="D8" s="2" t="inlineStr">
        <is>
          <t xml:space="preserve">Streaming</t>
        </is>
      </c>
      <c r="E8" s="3">
        <v>12.8</v>
      </c>
      <c r="G8" s="2" t="inlineStr">
        <is>
          <t xml:space="preserve">Restaurants &amp; Takeout</t>
        </is>
      </c>
      <c r="H8" s="3">
        <f>SUMIF($C$4:$C$127,G8,$E$4:$E$127)</f>
        <v>935.1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Transfers to People (Venmo/Zelle)</t>
        </is>
      </c>
      <c r="H9" s="3">
        <f>SUMIF($C$4:$C$127,G9,$E$4:$E$127)</f>
        <v>764.05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Groceries</t>
        </is>
      </c>
      <c r="D10" s="2" t="inlineStr">
        <is>
          <t xml:space="preserve">Food</t>
        </is>
      </c>
      <c r="E10" s="3">
        <v>2.14</v>
      </c>
      <c r="G10" s="2" t="inlineStr">
        <is>
          <t xml:space="preserve">Banner Life Insurance</t>
        </is>
      </c>
      <c r="H10" s="3">
        <f>SUMIF($C$4:$C$127,G10,$E$4:$E$127)</f>
        <v>710.06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Entertainment &amp; Events</t>
        </is>
      </c>
      <c r="H11" s="3">
        <f>SUMIF($C$4:$C$127,G11,$E$4:$E$127)</f>
        <v>400.0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Allstate Insurance</t>
        </is>
      </c>
      <c r="H12" s="3">
        <f>SUMIF($C$4:$C$127,G12,$E$4:$E$127)</f>
        <v>360.42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Utility – Electric (BEMC)</t>
        </is>
      </c>
      <c r="H13" s="3">
        <f>SUMIF($C$4:$C$127,G13,$E$4:$E$127)</f>
        <v>336.35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Verizon Wireless</t>
        </is>
      </c>
      <c r="H14" s="3">
        <f>SUMIF($C$4:$C$127,G14,$E$4:$E$127)</f>
        <v>294.8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Own WF Account</t>
        </is>
      </c>
      <c r="D15" s="2" t="inlineStr">
        <is>
          <t xml:space="preserve">Excluded</t>
        </is>
      </c>
      <c r="E15" s="3">
        <v>3.26</v>
      </c>
      <c r="G15" s="2" t="inlineStr">
        <is>
          <t xml:space="preserve">Gas &amp; Convenience Stores</t>
        </is>
      </c>
      <c r="H15" s="3">
        <f>SUMIF($C$4:$C$127,G15,$E$4:$E$127)</f>
        <v>277.87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Payoff – American Express</t>
        </is>
      </c>
      <c r="D16" s="2" t="inlineStr">
        <is>
          <t xml:space="preserve">Excluded</t>
        </is>
      </c>
      <c r="E16" s="3">
        <v>226.19</v>
      </c>
      <c r="G16" s="2" t="inlineStr">
        <is>
          <t xml:space="preserve">Home Services (Cleaning, Pest, Lawn)</t>
        </is>
      </c>
      <c r="H16" s="3">
        <f>SUMIF($C$4:$C$127,G16,$E$4:$E$127)</f>
        <v>242.05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Payoff – American Express</t>
        </is>
      </c>
      <c r="D17" s="2" t="inlineStr">
        <is>
          <t xml:space="preserve">Excluded</t>
        </is>
      </c>
      <c r="E17" s="3">
        <v>4000.9</v>
      </c>
      <c r="G17" s="2" t="inlineStr">
        <is>
          <t xml:space="preserve">Software &amp; Online Subscriptions</t>
        </is>
      </c>
      <c r="H17" s="3">
        <f>SUMIF($C$4:$C$127,G17,$E$4:$E$127)</f>
        <v>161.05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Student Loan (Dept of Education)</t>
        </is>
      </c>
      <c r="H18" s="3">
        <f>SUMIF($C$4:$C$127,G18,$E$4:$E$127)</f>
        <v>160.37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Retail – Walmart</t>
        </is>
      </c>
      <c r="H19" s="3">
        <f>SUMIF($C$4:$C$127,G19,$E$4:$E$127)</f>
        <v>132.66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Medical &amp; Pharmacy</t>
        </is>
      </c>
      <c r="H20" s="3">
        <f>SUMIF($C$4:$C$127,G20,$E$4:$E$127)</f>
        <v>100.93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Streaming – YouTube TV (Google)</t>
        </is>
      </c>
      <c r="H21" s="3">
        <f>SUMIF($C$4:$C$127,G21,$E$4:$E$127)</f>
        <v>100.78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Yard Company (NextGen)</t>
        </is>
      </c>
      <c r="H22" s="3">
        <f>SUMIF($C$4:$C$127,G22,$E$4:$E$127)</f>
        <v>100.0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Groceries</t>
        </is>
      </c>
      <c r="D23" s="2" t="inlineStr">
        <is>
          <t xml:space="preserve">Food</t>
        </is>
      </c>
      <c r="E23" s="3">
        <v>41.57</v>
      </c>
      <c r="G23" s="2" t="inlineStr">
        <is>
          <t xml:space="preserve">Life Insurance (Lincoln National)</t>
        </is>
      </c>
      <c r="H23" s="3">
        <f>SUMIF($C$4:$C$127,G23,$E$4:$E$127)</f>
        <v>73.61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Dental Insurance – Delta Dental</t>
        </is>
      </c>
      <c r="H24" s="3">
        <f>SUMIF($C$4:$C$127,G24,$E$4:$E$127)</f>
        <v>69.36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Groceries</t>
        </is>
      </c>
      <c r="D25" s="2" t="inlineStr">
        <is>
          <t xml:space="preserve">Food</t>
        </is>
      </c>
      <c r="E25" s="3">
        <v>93.02</v>
      </c>
      <c r="G25" s="2" t="inlineStr">
        <is>
          <t xml:space="preserve">Retail – Dick's Sporting Goods</t>
        </is>
      </c>
      <c r="H25" s="3">
        <f>SUMIF($C$4:$C$127,G25,$E$4:$E$127)</f>
        <v>63.61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– YouTube TV (Google)</t>
        </is>
      </c>
      <c r="D26" s="2" t="inlineStr">
        <is>
          <t xml:space="preserve">Streaming</t>
        </is>
      </c>
      <c r="E26" s="3">
        <v>89.0</v>
      </c>
      <c r="G26" s="2" t="inlineStr">
        <is>
          <t xml:space="preserve">St. James Marina</t>
        </is>
      </c>
      <c r="H26" s="3">
        <f>SUMIF($C$4:$C$127,G26,$E$4:$E$127)</f>
        <v>33.54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– YouTube TV (Google)</t>
        </is>
      </c>
      <c r="D27" s="2" t="inlineStr">
        <is>
          <t xml:space="preserve">Streaming</t>
        </is>
      </c>
      <c r="E27" s="3">
        <v>11.78</v>
      </c>
      <c r="G27" s="2" t="inlineStr">
        <is>
          <t xml:space="preserve">Streaming – Frndly TV</t>
        </is>
      </c>
      <c r="H27" s="3">
        <f>SUMIF($C$4:$C$127,G27,$E$4:$E$127)</f>
        <v>22.41</v>
      </c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– Disney (via Roku)</t>
        </is>
      </c>
      <c r="D28" s="2" t="inlineStr">
        <is>
          <t xml:space="preserve">Streaming</t>
        </is>
      </c>
      <c r="E28" s="3">
        <v>20.27</v>
      </c>
      <c r="G28" s="2" t="inlineStr">
        <is>
          <t xml:space="preserve">Streaming – Disney (via Roku)</t>
        </is>
      </c>
      <c r="H28" s="3">
        <f>SUMIF($C$4:$C$127,G28,$E$4:$E$127)</f>
        <v>20.27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  <c r="G29" s="2" t="inlineStr">
        <is>
          <t xml:space="preserve">Streaming – HBO Max</t>
        </is>
      </c>
      <c r="H29" s="3">
        <f>SUMIF($C$4:$C$127,G29,$E$4:$E$127)</f>
        <v>19.74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Retail – Walmart</t>
        </is>
      </c>
      <c r="D30" s="2" t="inlineStr">
        <is>
          <t xml:space="preserve">Retail</t>
        </is>
      </c>
      <c r="E30" s="3">
        <v>57.43</v>
      </c>
      <c r="G30" s="2" t="inlineStr">
        <is>
          <t xml:space="preserve">Streaming – ESPN (Sept billed as Disney Plus)</t>
        </is>
      </c>
      <c r="H30" s="3">
        <f>SUMIF($C$4:$C$127,G30,$E$4:$E$127)</f>
        <v>13.87</v>
      </c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Medical &amp; Pharmacy</t>
        </is>
      </c>
      <c r="D31" s="2" t="inlineStr">
        <is>
          <t xml:space="preserve">Health</t>
        </is>
      </c>
      <c r="E31" s="3">
        <v>14.99</v>
      </c>
      <c r="G31" s="2" t="inlineStr">
        <is>
          <t xml:space="preserve">Streaming – Hulu</t>
        </is>
      </c>
      <c r="H31" s="3">
        <f>SUMIF($C$4:$C$127,G31,$E$4:$E$127)</f>
        <v>12.8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Retail – Walmart</t>
        </is>
      </c>
      <c r="D32" s="2" t="inlineStr">
        <is>
          <t xml:space="preserve">Retail</t>
        </is>
      </c>
      <c r="E32" s="3">
        <v>19.06</v>
      </c>
      <c r="G32" s="2" t="inlineStr">
        <is>
          <t xml:space="preserve">Streaming – Peacock (via Roku)</t>
        </is>
      </c>
      <c r="H32" s="3">
        <f>SUMIF($C$4:$C$127,G32,$E$4:$E$127)</f>
        <v>11.73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10.1</v>
      </c>
      <c r="G33" s="2" t="inlineStr">
        <is>
          <t xml:space="preserve">Retail – Dollar Tree / Dollar General</t>
        </is>
      </c>
      <c r="H33" s="3">
        <f>SUMIF($C$4:$C$127,G33,$E$4:$E$127)</f>
        <v>5.87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Groceries</t>
        </is>
      </c>
      <c r="D34" s="2" t="inlineStr">
        <is>
          <t xml:space="preserve">Food</t>
        </is>
      </c>
      <c r="E34" s="3">
        <v>18.98</v>
      </c>
      <c r="G34" s="8" t="inlineStr">
        <is>
          <t xml:space="preserve">Total spending</t>
        </is>
      </c>
      <c r="H34" s="9">
        <f>SUM(H4:H33)</f>
        <v>12663.24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8.85</v>
      </c>
      <c r="G36" s="7" t="inlineStr">
        <is>
          <t xml:space="preserve">Not counted as spending</t>
        </is>
      </c>
      <c r="H36" s="7"/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  <c r="G37" s="2" t="inlineStr">
        <is>
          <t xml:space="preserve">Credit Card Payoff – American Express</t>
        </is>
      </c>
      <c r="H37" s="3">
        <f>SUMIF($C$4:$C$127,G37,$E$4:$E$127)</f>
        <v>7227.09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  <c r="G38" s="2" t="inlineStr">
        <is>
          <t xml:space="preserve">Sloane Realty</t>
        </is>
      </c>
      <c r="H38" s="3">
        <f>SUMIF($C$4:$C$127,G38,$E$4:$E$127)</f>
        <v>2891.98</v>
      </c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Retail – Walmart</t>
        </is>
      </c>
      <c r="D39" s="2" t="inlineStr">
        <is>
          <t xml:space="preserve">Retail</t>
        </is>
      </c>
      <c r="E39" s="3">
        <v>12.21</v>
      </c>
      <c r="G39" s="2" t="inlineStr">
        <is>
          <t xml:space="preserve">Transfer to Own WF Account</t>
        </is>
      </c>
      <c r="H39" s="3">
        <f>SUMIF($C$4:$C$127,G39,$E$4:$E$127)</f>
        <v>3.26</v>
      </c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  <c r="G40" s="2" t="inlineStr">
        <is>
          <t xml:space="preserve">WTW Health Premium (reimbursed by Via Benefits)</t>
        </is>
      </c>
      <c r="H40" s="3">
        <f>SUMIF($C$4:$C$127,G40,$E$4:$E$127)</f>
        <v>2576.0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Restaurants &amp; Takeout</t>
        </is>
      </c>
      <c r="D42" s="2" t="inlineStr">
        <is>
          <t xml:space="preserve">Food</t>
        </is>
      </c>
      <c r="E42" s="3">
        <v>6.21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Groceries</t>
        </is>
      </c>
      <c r="D45" s="2" t="inlineStr">
        <is>
          <t xml:space="preserve">Food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Groceries</t>
        </is>
      </c>
      <c r="D49" s="2" t="inlineStr">
        <is>
          <t xml:space="preserve">Food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– Frndly TV</t>
        </is>
      </c>
      <c r="D50" s="2" t="inlineStr">
        <is>
          <t xml:space="preserve">Streaming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Payoff – American Express</t>
        </is>
      </c>
      <c r="D55" s="2" t="inlineStr">
        <is>
          <t xml:space="preserve">Excluded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Yard Company (NextGen)</t>
        </is>
      </c>
      <c r="D56" s="2" t="inlineStr">
        <is>
          <t xml:space="preserve">Home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Retail – Walmart</t>
        </is>
      </c>
      <c r="D57" s="2" t="inlineStr">
        <is>
          <t xml:space="preserve">Retail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Groceries</t>
        </is>
      </c>
      <c r="D58" s="2" t="inlineStr">
        <is>
          <t xml:space="preserve">Food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WTW Health Premium (reimbursed by Via Benefits)</t>
        </is>
      </c>
      <c r="D59" s="2" t="inlineStr">
        <is>
          <t xml:space="preserve">Excluded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Groceries</t>
        </is>
      </c>
      <c r="D62" s="2" t="inlineStr">
        <is>
          <t xml:space="preserve">Food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Groceries</t>
        </is>
      </c>
      <c r="D63" s="2" t="inlineStr">
        <is>
          <t xml:space="preserve">Food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Retail – Dick's Sporting Goods</t>
        </is>
      </c>
      <c r="D66" s="2" t="inlineStr">
        <is>
          <t xml:space="preserve">Retail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Medical &amp;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Groceries</t>
        </is>
      </c>
      <c r="D69" s="2" t="inlineStr">
        <is>
          <t xml:space="preserve">Food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Retail – Belk (store card payments)</t>
        </is>
      </c>
      <c r="D70" s="2" t="inlineStr">
        <is>
          <t xml:space="preserve">Retail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– ESPN (Sept billed as Disney Plus)</t>
        </is>
      </c>
      <c r="D76" s="2" t="inlineStr">
        <is>
          <t xml:space="preserve">Streaming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Groceries</t>
        </is>
      </c>
      <c r="D77" s="2" t="inlineStr">
        <is>
          <t xml:space="preserve">Food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(Cleaning, Pest, Lawn)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Groceries</t>
        </is>
      </c>
      <c r="D89" s="2" t="inlineStr">
        <is>
          <t xml:space="preserve">Food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Groceries</t>
        </is>
      </c>
      <c r="D91" s="2" t="inlineStr">
        <is>
          <t xml:space="preserve">Food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Retail – Belk (store card payments)</t>
        </is>
      </c>
      <c r="D92" s="2" t="inlineStr">
        <is>
          <t xml:space="preserve">Retail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Payoff – American Express</t>
        </is>
      </c>
      <c r="D96" s="2" t="inlineStr">
        <is>
          <t xml:space="preserve">Excluded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Groceries</t>
        </is>
      </c>
      <c r="D99" s="2" t="inlineStr">
        <is>
          <t xml:space="preserve">Food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Groceries</t>
        </is>
      </c>
      <c r="D101" s="2" t="inlineStr">
        <is>
          <t xml:space="preserve">Food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Groceries</t>
        </is>
      </c>
      <c r="D103" s="2" t="inlineStr">
        <is>
          <t xml:space="preserve">Food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Groceries</t>
        </is>
      </c>
      <c r="D109" s="2" t="inlineStr">
        <is>
          <t xml:space="preserve">Food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Medical &amp;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Entertainment &amp; Events</t>
        </is>
      </c>
      <c r="D111" s="2" t="inlineStr">
        <is>
          <t xml:space="preserve">Recreation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Entertainment &amp; Events</t>
        </is>
      </c>
      <c r="D112" s="2" t="inlineStr">
        <is>
          <t xml:space="preserve">Recreation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Entertainment &amp; Events</t>
        </is>
      </c>
      <c r="D113" s="2" t="inlineStr">
        <is>
          <t xml:space="preserve">Recreation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Entertainment &amp; Events</t>
        </is>
      </c>
      <c r="D114" s="2" t="inlineStr">
        <is>
          <t xml:space="preserve">Recreation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Groceries</t>
        </is>
      </c>
      <c r="D117" s="2" t="inlineStr">
        <is>
          <t xml:space="preserve">Food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Phone &amp; Internet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– Peacock (via Roku)</t>
        </is>
      </c>
      <c r="D119" s="2" t="inlineStr">
        <is>
          <t xml:space="preserve">Streaming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Sloane Realty</t>
        </is>
      </c>
      <c r="D121" s="2" t="inlineStr">
        <is>
          <t xml:space="preserve">Excluded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– HBO Max</t>
        </is>
      </c>
      <c r="D123" s="2" t="inlineStr">
        <is>
          <t xml:space="preserve">Streaming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Home Services (Cleaning, Pest, Lawn)</t>
        </is>
      </c>
      <c r="D126" s="2" t="inlineStr">
        <is>
          <t xml:space="preserve">Home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Retail – Dollar Tree / Dollar General</t>
        </is>
      </c>
      <c r="D127" s="2" t="inlineStr">
        <is>
          <t xml:space="preserve">Retail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spending</t>
        </is>
      </c>
      <c r="E128" s="9">
        <f>SUMIF(D4:D127,"&lt;&gt;Excluded",E4:E127)</f>
        <v>12663.24</v>
      </c>
    </row>
    <row r="129">
      <c r="D129" s="7" t="inlineStr">
        <is>
          <t xml:space="preserve">Not counted (Excluded)</t>
        </is>
      </c>
      <c r="E129" s="6">
        <f>SUMIF(D4:D127,"Excluded",E4:E127)</f>
        <v>12698.33</v>
      </c>
    </row>
  </sheetData>
  <autoFilter ref="A3:E127"/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A&amp;D Mortgage</t>
        </is>
      </c>
      <c r="H4" s="3">
        <f>SUMIF($C$4:$C$110,G4,$E$4:$E$110)</f>
        <v>3411.1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Retail – Walmart</t>
        </is>
      </c>
      <c r="H5" s="3">
        <f>SUMIF($C$4:$C$110,G5,$E$4:$E$110)</f>
        <v>1732.6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St. James Membership (Club)</t>
        </is>
      </c>
      <c r="H6" s="3">
        <f>SUMIF($C$4:$C$110,G6,$E$4:$E$110)</f>
        <v>1492.11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Groceries</t>
        </is>
      </c>
      <c r="H7" s="3">
        <f>SUMIF($C$4:$C$110,G7,$E$4:$E$110)</f>
        <v>1190.12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Restaurants &amp; Takeout</t>
        </is>
      </c>
      <c r="H8" s="3">
        <f>SUMIF($C$4:$C$110,G8,$E$4:$E$110)</f>
        <v>962.62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Medical &amp; Pharmacy</t>
        </is>
      </c>
      <c r="H9" s="3">
        <f>SUMIF($C$4:$C$110,G9,$E$4:$E$110)</f>
        <v>850.9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Banner Life Insurance</t>
        </is>
      </c>
      <c r="H10" s="3">
        <f>SUMIF($C$4:$C$110,G10,$E$4:$E$110)</f>
        <v>710.06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– Hulu</t>
        </is>
      </c>
      <c r="D11" s="2" t="inlineStr">
        <is>
          <t xml:space="preserve">Streaming</t>
        </is>
      </c>
      <c r="E11" s="3">
        <v>12.8</v>
      </c>
      <c r="G11" s="2" t="inlineStr">
        <is>
          <t xml:space="preserve">Home Services (Cleaning, Pest, Lawn)</t>
        </is>
      </c>
      <c r="H11" s="3">
        <f>SUMIF($C$4:$C$110,G11,$E$4:$E$110)</f>
        <v>536.6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Groceries</t>
        </is>
      </c>
      <c r="D12" s="2" t="inlineStr">
        <is>
          <t xml:space="preserve">Food</t>
        </is>
      </c>
      <c r="E12" s="3">
        <v>85.7</v>
      </c>
      <c r="G12" s="2" t="inlineStr">
        <is>
          <t xml:space="preserve">Allstate Insurance</t>
        </is>
      </c>
      <c r="H12" s="3">
        <f>SUMIF($C$4:$C$110,G12,$E$4:$E$110)</f>
        <v>475.42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Payoff – American Express</t>
        </is>
      </c>
      <c r="D13" s="2" t="inlineStr">
        <is>
          <t xml:space="preserve">Excluded</t>
        </is>
      </c>
      <c r="E13" s="3">
        <v>3929.91</v>
      </c>
      <c r="G13" s="2" t="inlineStr">
        <is>
          <t xml:space="preserve">Verizon Wireless</t>
        </is>
      </c>
      <c r="H13" s="3">
        <f>SUMIF($C$4:$C$110,G13,$E$4:$E$110)</f>
        <v>436.02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Personal Care (Hair Salon, Beauty)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Health Insurance – Blue Cross NC</t>
        </is>
      </c>
      <c r="H14" s="3">
        <f>SUMIF($C$4:$C$110,G14,$E$4:$E$110)</f>
        <v>432.5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Utility – Electric (BEMC)</t>
        </is>
      </c>
      <c r="H15" s="3">
        <f>SUMIF($C$4:$C$110,G15,$E$4:$E$110)</f>
        <v>406.96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Internet – Focus Broadband</t>
        </is>
      </c>
      <c r="D16" s="2" t="inlineStr">
        <is>
          <t xml:space="preserve">Phone &amp; Internet</t>
        </is>
      </c>
      <c r="E16" s="3">
        <v>80.79</v>
      </c>
      <c r="G16" s="2" t="inlineStr">
        <is>
          <t xml:space="preserve">Transfers to People (Venmo/Zelle)</t>
        </is>
      </c>
      <c r="H16" s="3">
        <f>SUMIF($C$4:$C$110,G16,$E$4:$E$110)</f>
        <v>331.5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&amp; Pharmacy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Yard Company (NextGen)</t>
        </is>
      </c>
      <c r="H17" s="3">
        <f>SUMIF($C$4:$C$110,G17,$E$4:$E$110)</f>
        <v>220.0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Personal Care (Hair Salon, Beauty)</t>
        </is>
      </c>
      <c r="H18" s="3">
        <f>SUMIF($C$4:$C$110,G18,$E$4:$E$110)</f>
        <v>182.5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Utility – Water/Sewer (Brunswick County)</t>
        </is>
      </c>
      <c r="H19" s="3">
        <f>SUMIF($C$4:$C$110,G19,$E$4:$E$110)</f>
        <v>179.33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Yard Company (NextGen)</t>
        </is>
      </c>
      <c r="D20" s="2" t="inlineStr">
        <is>
          <t xml:space="preserve">Home</t>
        </is>
      </c>
      <c r="E20" s="3">
        <v>100.0</v>
      </c>
      <c r="G20" s="2" t="inlineStr">
        <is>
          <t xml:space="preserve">Retail – Dillard's</t>
        </is>
      </c>
      <c r="H20" s="3">
        <f>SUMIF($C$4:$C$110,G20,$E$4:$E$110)</f>
        <v>174.74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(Cleaning, Pest, Lawn)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Retail – Lowe's (home improvement)</t>
        </is>
      </c>
      <c r="H21" s="3">
        <f>SUMIF($C$4:$C$110,G21,$E$4:$E$110)</f>
        <v>171.55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– YouTube TV (Google)</t>
        </is>
      </c>
      <c r="D22" s="2" t="inlineStr">
        <is>
          <t xml:space="preserve">Streaming</t>
        </is>
      </c>
      <c r="E22" s="3">
        <v>89.0</v>
      </c>
      <c r="G22" s="2" t="inlineStr">
        <is>
          <t xml:space="preserve">Gas &amp; Convenience Stores</t>
        </is>
      </c>
      <c r="H22" s="3">
        <f>SUMIF($C$4:$C$110,G22,$E$4:$E$110)</f>
        <v>167.24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Retail – Hobby Lobby</t>
        </is>
      </c>
      <c r="H23" s="3">
        <f>SUMIF($C$4:$C$110,G23,$E$4:$E$110)</f>
        <v>165.67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Groceries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Internet – Focus Broadband</t>
        </is>
      </c>
      <c r="H24" s="3">
        <f>SUMIF($C$4:$C$110,G24,$E$4:$E$110)</f>
        <v>161.58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– Disney (via Roku)</t>
        </is>
      </c>
      <c r="D25" s="2" t="inlineStr">
        <is>
          <t xml:space="preserve">Streaming</t>
        </is>
      </c>
      <c r="E25" s="3">
        <v>20.27</v>
      </c>
      <c r="G25" s="2" t="inlineStr">
        <is>
          <t xml:space="preserve">Student Loan (Dept of Education)</t>
        </is>
      </c>
      <c r="H25" s="3">
        <f>SUMIF($C$4:$C$110,G25,$E$4:$E$110)</f>
        <v>160.37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Streaming – YouTube TV (Google)</t>
        </is>
      </c>
      <c r="H26" s="3">
        <f>SUMIF($C$4:$C$110,G26,$E$4:$E$110)</f>
        <v>89.0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Retail – HomeSense</t>
        </is>
      </c>
      <c r="H27" s="3">
        <f>SUMIF($C$4:$C$110,G27,$E$4:$E$110)</f>
        <v>88.7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Life Insurance (Lincoln National)</t>
        </is>
      </c>
      <c r="H28" s="3">
        <f>SUMIF($C$4:$C$110,G28,$E$4:$E$110)</f>
        <v>73.61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Dental Insurance – Delta Dental</t>
        </is>
      </c>
      <c r="H29" s="3">
        <f>SUMIF($C$4:$C$110,G29,$E$4:$E$110)</f>
        <v>69.36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2" t="inlineStr">
        <is>
          <t xml:space="preserve">Software &amp; Online Subscriptions</t>
        </is>
      </c>
      <c r="H30" s="3">
        <f>SUMIF($C$4:$C$110,G30,$E$4:$E$110)</f>
        <v>65.98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  <c r="G31" s="2" t="inlineStr">
        <is>
          <t xml:space="preserve">Retail – Tractor Supply</t>
        </is>
      </c>
      <c r="H31" s="3">
        <f>SUMIF($C$4:$C$110,G31,$E$4:$E$110)</f>
        <v>29.86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2" t="inlineStr">
        <is>
          <t xml:space="preserve">Streaming – Frndly TV</t>
        </is>
      </c>
      <c r="H32" s="3">
        <f>SUMIF($C$4:$C$110,G32,$E$4:$E$110)</f>
        <v>22.41</v>
      </c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  <c r="G33" s="2" t="inlineStr">
        <is>
          <t xml:space="preserve">Streaming – Disney (via Roku)</t>
        </is>
      </c>
      <c r="H33" s="3">
        <f>SUMIF($C$4:$C$110,G33,$E$4:$E$110)</f>
        <v>20.27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  <c r="G34" s="2" t="inlineStr">
        <is>
          <t xml:space="preserve">Tolls &amp; Parking</t>
        </is>
      </c>
      <c r="H34" s="3">
        <f>SUMIF($C$4:$C$110,G34,$E$4:$E$110)</f>
        <v>18.44</v>
      </c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  <c r="G35" s="2" t="inlineStr">
        <is>
          <t xml:space="preserve">Retail – Dollar Tree / Dollar General</t>
        </is>
      </c>
      <c r="H35" s="3">
        <f>SUMIF($C$4:$C$110,G35,$E$4:$E$110)</f>
        <v>17.35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Medical &amp; Pharmacy</t>
        </is>
      </c>
      <c r="D36" s="2" t="inlineStr">
        <is>
          <t xml:space="preserve">Health</t>
        </is>
      </c>
      <c r="E36" s="3">
        <v>202.55</v>
      </c>
      <c r="G36" s="2" t="inlineStr">
        <is>
          <t xml:space="preserve">Streaming – ESPN (Sept billed as Disney Plus)</t>
        </is>
      </c>
      <c r="H36" s="3">
        <f>SUMIF($C$4:$C$110,G36,$E$4:$E$110)</f>
        <v>13.87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Retail – Walmart</t>
        </is>
      </c>
      <c r="D37" s="2" t="inlineStr">
        <is>
          <t xml:space="preserve">Retail</t>
        </is>
      </c>
      <c r="E37" s="3">
        <v>1461.9</v>
      </c>
      <c r="G37" s="2" t="inlineStr">
        <is>
          <t xml:space="preserve">Entertainment &amp; Events</t>
        </is>
      </c>
      <c r="H37" s="3">
        <f>SUMIF($C$4:$C$110,G37,$E$4:$E$110)</f>
        <v>13.5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  <c r="G38" s="2" t="inlineStr">
        <is>
          <t xml:space="preserve">Streaming – Hulu</t>
        </is>
      </c>
      <c r="H38" s="3">
        <f>SUMIF($C$4:$C$110,G38,$E$4:$E$110)</f>
        <v>12.8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  <c r="G39" s="8" t="inlineStr">
        <is>
          <t xml:space="preserve">Total spending</t>
        </is>
      </c>
      <c r="H39" s="9">
        <f>SUM(H4:H38)</f>
        <v>15086.64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  <c r="G41" s="7" t="inlineStr">
        <is>
          <t xml:space="preserve">Not counted as spending</t>
        </is>
      </c>
      <c r="H41" s="7"/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  <c r="G42" s="2" t="inlineStr">
        <is>
          <t xml:space="preserve">Checks Written (payee not shown)</t>
        </is>
      </c>
      <c r="H42" s="3">
        <f>SUMIF($C$4:$C$110,G42,$E$4:$E$110)</f>
        <v>728.0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Groceries</t>
        </is>
      </c>
      <c r="D43" s="2" t="inlineStr">
        <is>
          <t xml:space="preserve">Food</t>
        </is>
      </c>
      <c r="E43" s="3">
        <v>239.44</v>
      </c>
      <c r="G43" s="2" t="inlineStr">
        <is>
          <t xml:space="preserve">Credit Card Payoff – American Express</t>
        </is>
      </c>
      <c r="H43" s="3">
        <f>SUMIF($C$4:$C$110,G43,$E$4:$E$110)</f>
        <v>4593.08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  <c r="G44" s="2" t="inlineStr">
        <is>
          <t xml:space="preserve">WTW Health Premium (reimbursed by Via Benefits)</t>
        </is>
      </c>
      <c r="H44" s="3">
        <f>SUMIF($C$4:$C$110,G44,$E$4:$E$110)</f>
        <v>2576.0</v>
      </c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Groceries</t>
        </is>
      </c>
      <c r="D47" s="2" t="inlineStr">
        <is>
          <t xml:space="preserve">Food</t>
        </is>
      </c>
      <c r="E47" s="3">
        <v>63.82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Retail – Dollar Tree / Dollar General</t>
        </is>
      </c>
      <c r="D48" s="2" t="inlineStr">
        <is>
          <t xml:space="preserve">Retail</t>
        </is>
      </c>
      <c r="E48" s="3">
        <v>17.35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Retail – Hobby Lobby</t>
        </is>
      </c>
      <c r="D49" s="2" t="inlineStr">
        <is>
          <t xml:space="preserve">Retail</t>
        </is>
      </c>
      <c r="E49" s="3">
        <v>20.66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Groceries</t>
        </is>
      </c>
      <c r="D50" s="2" t="inlineStr">
        <is>
          <t xml:space="preserve">Food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Yard Company (NextGen)</t>
        </is>
      </c>
      <c r="D52" s="2" t="inlineStr">
        <is>
          <t xml:space="preserve">Home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– Frndly TV</t>
        </is>
      </c>
      <c r="D53" s="2" t="inlineStr">
        <is>
          <t xml:space="preserve">Streaming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Groceries</t>
        </is>
      </c>
      <c r="D54" s="2" t="inlineStr">
        <is>
          <t xml:space="preserve">Food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Home Services (Cleaning, Pest, Lawn)</t>
        </is>
      </c>
      <c r="D55" s="2" t="inlineStr">
        <is>
          <t xml:space="preserve">Home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Excluded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Medical &amp;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Groceries</t>
        </is>
      </c>
      <c r="D58" s="2" t="inlineStr">
        <is>
          <t xml:space="preserve">Food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WTW Health Premium (reimbursed by Via Benefits)</t>
        </is>
      </c>
      <c r="D60" s="2" t="inlineStr">
        <is>
          <t xml:space="preserve">Excluded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Retail – Lowe's (home improvement)</t>
        </is>
      </c>
      <c r="D62" s="2" t="inlineStr">
        <is>
          <t xml:space="preserve">Retail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Internet – Focus Broadband</t>
        </is>
      </c>
      <c r="D63" s="2" t="inlineStr">
        <is>
          <t xml:space="preserve">Phone &amp; Internet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&amp; Events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Retail – Walmart</t>
        </is>
      </c>
      <c r="D67" s="2" t="inlineStr">
        <is>
          <t xml:space="preserve">Retail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Groceries</t>
        </is>
      </c>
      <c r="D70" s="2" t="inlineStr">
        <is>
          <t xml:space="preserve">Food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Excluded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– ESPN (Sept billed as Disney Plus)</t>
        </is>
      </c>
      <c r="D75" s="2" t="inlineStr">
        <is>
          <t xml:space="preserve">Streaming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&amp; Pharmacy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Retail – HomeSense</t>
        </is>
      </c>
      <c r="D77" s="2" t="inlineStr">
        <is>
          <t xml:space="preserve">Retail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Retail – Dillard's</t>
        </is>
      </c>
      <c r="D78" s="2" t="inlineStr">
        <is>
          <t xml:space="preserve">Retail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Groceries</t>
        </is>
      </c>
      <c r="D83" s="2" t="inlineStr">
        <is>
          <t xml:space="preserve">Food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Retail – Hobby Lobby</t>
        </is>
      </c>
      <c r="D85" s="2" t="inlineStr">
        <is>
          <t xml:space="preserve">Retail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Groceries</t>
        </is>
      </c>
      <c r="D87" s="2" t="inlineStr">
        <is>
          <t xml:space="preserve">Food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Yard Company (NextGen)</t>
        </is>
      </c>
      <c r="D91" s="2" t="inlineStr">
        <is>
          <t xml:space="preserve">Home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Retail – Tractor Supply</t>
        </is>
      </c>
      <c r="D92" s="2" t="inlineStr">
        <is>
          <t xml:space="preserve">Retail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Groceries</t>
        </is>
      </c>
      <c r="D93" s="2" t="inlineStr">
        <is>
          <t xml:space="preserve">Food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Excluded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Medical &amp;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Payoff – American Express</t>
        </is>
      </c>
      <c r="D97" s="2" t="inlineStr">
        <is>
          <t xml:space="preserve">Excluded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Personal Care (Hair Salon, Beauty)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Retail – Walmart</t>
        </is>
      </c>
      <c r="D100" s="2" t="inlineStr">
        <is>
          <t xml:space="preserve">Retail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Groceries</t>
        </is>
      </c>
      <c r="D104" s="2" t="inlineStr">
        <is>
          <t xml:space="preserve">Food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Groceries</t>
        </is>
      </c>
      <c r="D105" s="2" t="inlineStr">
        <is>
          <t xml:space="preserve">Food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Phone &amp; Internet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Retail – Dillard's</t>
        </is>
      </c>
      <c r="D108" s="2" t="inlineStr">
        <is>
          <t xml:space="preserve">Retail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Groceries</t>
        </is>
      </c>
      <c r="D109" s="2" t="inlineStr">
        <is>
          <t xml:space="preserve">Food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spending</t>
        </is>
      </c>
      <c r="E111" s="9">
        <f>SUMIF(D4:D110,"&lt;&gt;Excluded",E4:E110)</f>
        <v>15086.64</v>
      </c>
    </row>
    <row r="112">
      <c r="D112" s="7" t="inlineStr">
        <is>
          <t xml:space="preserve">Not counted (Excluded)</t>
        </is>
      </c>
      <c r="E112" s="6">
        <f>SUMIF(D4:D110,"Excluded",E4:E110)</f>
        <v>7897.08</v>
      </c>
    </row>
  </sheetData>
  <autoFilter ref="A3:E110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A&amp;D Mortgage</t>
        </is>
      </c>
      <c r="H4" s="3">
        <f>SUMIF($C$4:$C$88,G4,$E$4:$E$88)</f>
        <v>3411.1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24.51</v>
      </c>
      <c r="G5" s="2" t="inlineStr">
        <is>
          <t xml:space="preserve">St. James Membership (Club)</t>
        </is>
      </c>
      <c r="H5" s="3">
        <f>SUMIF($C$4:$C$88,G5,$E$4:$E$88)</f>
        <v>1767.0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Groceries</t>
        </is>
      </c>
      <c r="H6" s="3">
        <f>SUMIF($C$4:$C$88,G6,$E$4:$E$88)</f>
        <v>1202.5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&amp; Pharmacy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Restaurants &amp; Takeout</t>
        </is>
      </c>
      <c r="H7" s="3">
        <f>SUMIF($C$4:$C$88,G7,$E$4:$E$88)</f>
        <v>872.56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Banner Life Insurance</t>
        </is>
      </c>
      <c r="H8" s="3">
        <f>SUMIF($C$4:$C$88,G8,$E$4:$E$88)</f>
        <v>710.06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Utility – Electric (BEMC)</t>
        </is>
      </c>
      <c r="H9" s="3">
        <f>SUMIF($C$4:$C$88,G9,$E$4:$E$88)</f>
        <v>419.66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– Disney (via Roku)</t>
        </is>
      </c>
      <c r="D10" s="2" t="inlineStr">
        <is>
          <t xml:space="preserve">Streaming</t>
        </is>
      </c>
      <c r="E10" s="3">
        <v>20.27</v>
      </c>
      <c r="G10" s="2" t="inlineStr">
        <is>
          <t xml:space="preserve">Verizon Wireless</t>
        </is>
      </c>
      <c r="H10" s="3">
        <f>SUMIF($C$4:$C$88,G10,$E$4:$E$88)</f>
        <v>386.85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Retail – Walmart</t>
        </is>
      </c>
      <c r="D11" s="2" t="inlineStr">
        <is>
          <t xml:space="preserve">Retail</t>
        </is>
      </c>
      <c r="E11" s="3">
        <v>32.63</v>
      </c>
      <c r="G11" s="2" t="inlineStr">
        <is>
          <t xml:space="preserve">Allstate Insurance</t>
        </is>
      </c>
      <c r="H11" s="3">
        <f>SUMIF($C$4:$C$88,G11,$E$4:$E$88)</f>
        <v>354.17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Gas &amp; Convenience Stores</t>
        </is>
      </c>
      <c r="H12" s="3">
        <f>SUMIF($C$4:$C$88,G12,$E$4:$E$88)</f>
        <v>238.98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Groceries</t>
        </is>
      </c>
      <c r="D13" s="2" t="inlineStr">
        <is>
          <t xml:space="preserve">Food</t>
        </is>
      </c>
      <c r="E13" s="3">
        <v>5.28</v>
      </c>
      <c r="G13" s="2" t="inlineStr">
        <is>
          <t xml:space="preserve">Health Insurance – Blue Cross NC</t>
        </is>
      </c>
      <c r="H13" s="3">
        <f>SUMIF($C$4:$C$88,G13,$E$4:$E$88)</f>
        <v>216.25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Donations &amp; Clubs (Kiwanis)</t>
        </is>
      </c>
      <c r="H14" s="3">
        <f>SUMIF($C$4:$C$88,G14,$E$4:$E$88)</f>
        <v>200.0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Student Loan (Dept of Education)</t>
        </is>
      </c>
      <c r="H15" s="3">
        <f>SUMIF($C$4:$C$88,G15,$E$4:$E$88)</f>
        <v>160.37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Groceries</t>
        </is>
      </c>
      <c r="D16" s="2" t="inlineStr">
        <is>
          <t xml:space="preserve">Food</t>
        </is>
      </c>
      <c r="E16" s="3">
        <v>98.73</v>
      </c>
      <c r="G16" s="2" t="inlineStr">
        <is>
          <t xml:space="preserve">Medical &amp; Pharmacy</t>
        </is>
      </c>
      <c r="H16" s="3">
        <f>SUMIF($C$4:$C$88,G16,$E$4:$E$88)</f>
        <v>160.28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Yard Company (NextGen)</t>
        </is>
      </c>
      <c r="D17" s="2" t="inlineStr">
        <is>
          <t xml:space="preserve">Home</t>
        </is>
      </c>
      <c r="E17" s="3">
        <v>60.0</v>
      </c>
      <c r="G17" s="2" t="inlineStr">
        <is>
          <t xml:space="preserve">Cash (ATM) &amp; Bank Fees</t>
        </is>
      </c>
      <c r="H17" s="3">
        <f>SUMIF($C$4:$C$88,G17,$E$4:$E$88)</f>
        <v>147.0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Groceries</t>
        </is>
      </c>
      <c r="D18" s="2" t="inlineStr">
        <is>
          <t xml:space="preserve">Food</t>
        </is>
      </c>
      <c r="E18" s="3">
        <v>53.9</v>
      </c>
      <c r="G18" s="2" t="inlineStr">
        <is>
          <t xml:space="preserve">Streaming – YouTube TV (Google)</t>
        </is>
      </c>
      <c r="H18" s="3">
        <f>SUMIF($C$4:$C$88,G18,$E$4:$E$88)</f>
        <v>132.43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Groceries</t>
        </is>
      </c>
      <c r="D19" s="2" t="inlineStr">
        <is>
          <t xml:space="preserve">Food</t>
        </is>
      </c>
      <c r="E19" s="3">
        <v>174.04</v>
      </c>
      <c r="G19" s="2" t="inlineStr">
        <is>
          <t xml:space="preserve">Transfers to People (Venmo/Zelle)</t>
        </is>
      </c>
      <c r="H19" s="3">
        <f>SUMIF($C$4:$C$88,G19,$E$4:$E$88)</f>
        <v>130.0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Yard Company (NextGen)</t>
        </is>
      </c>
      <c r="H20" s="3">
        <f>SUMIF($C$4:$C$88,G20,$E$4:$E$88)</f>
        <v>120.0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Retail – Local shops (Hippie Chick, Southport Spices, Mad River, Coastal Carolina)</t>
        </is>
      </c>
      <c r="H21" s="3">
        <f>SUMIF($C$4:$C$88,G21,$E$4:$E$88)</f>
        <v>119.97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Personal Care (Hair Salon, Beauty)</t>
        </is>
      </c>
      <c r="H22" s="3">
        <f>SUMIF($C$4:$C$88,G22,$E$4:$E$88)</f>
        <v>114.5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Retail – Lowe's (home improvement)</t>
        </is>
      </c>
      <c r="H23" s="3">
        <f>SUMIF($C$4:$C$88,G23,$E$4:$E$88)</f>
        <v>85.27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Utility – Water/Sewer (Brunswick County)</t>
        </is>
      </c>
      <c r="H24" s="3">
        <f>SUMIF($C$4:$C$88,G24,$E$4:$E$88)</f>
        <v>84.26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(Hair Salon, Beauty)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Internet – Focus Broadband</t>
        </is>
      </c>
      <c r="H25" s="3">
        <f>SUMIF($C$4:$C$88,G25,$E$4:$E$88)</f>
        <v>80.79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Tolls &amp; Parking</t>
        </is>
      </c>
      <c r="H26" s="3">
        <f>SUMIF($C$4:$C$88,G26,$E$4:$E$88)</f>
        <v>74.24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Groceries</t>
        </is>
      </c>
      <c r="D27" s="2" t="inlineStr">
        <is>
          <t xml:space="preserve">Food</t>
        </is>
      </c>
      <c r="E27" s="3">
        <v>28.23</v>
      </c>
      <c r="G27" s="2" t="inlineStr">
        <is>
          <t xml:space="preserve">Life Insurance (Lincoln National)</t>
        </is>
      </c>
      <c r="H27" s="3">
        <f>SUMIF($C$4:$C$88,G27,$E$4:$E$88)</f>
        <v>73.61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Personal Care (Hair Salon, Beauty)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Dental Insurance – Delta Dental</t>
        </is>
      </c>
      <c r="H28" s="3">
        <f>SUMIF($C$4:$C$88,G28,$E$4:$E$88)</f>
        <v>69.36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2" t="inlineStr">
        <is>
          <t xml:space="preserve">Retail – Marshalls</t>
        </is>
      </c>
      <c r="H29" s="3">
        <f>SUMIF($C$4:$C$88,G29,$E$4:$E$88)</f>
        <v>41.59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– Frndly TV</t>
        </is>
      </c>
      <c r="D30" s="2" t="inlineStr">
        <is>
          <t xml:space="preserve">Streaming</t>
        </is>
      </c>
      <c r="E30" s="3">
        <v>22.41</v>
      </c>
      <c r="G30" s="2" t="inlineStr">
        <is>
          <t xml:space="preserve">Retail – Hobby Lobby</t>
        </is>
      </c>
      <c r="H30" s="3">
        <f>SUMIF($C$4:$C$88,G30,$E$4:$E$88)</f>
        <v>37.33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Retail – Local shops (Hippie Chick, Southport Spices, Mad River, Coastal Carolina)</t>
        </is>
      </c>
      <c r="D31" s="2" t="inlineStr">
        <is>
          <t xml:space="preserve">Retail</t>
        </is>
      </c>
      <c r="E31" s="3">
        <v>59.99</v>
      </c>
      <c r="G31" s="2" t="inlineStr">
        <is>
          <t xml:space="preserve">Retail – Walmart</t>
        </is>
      </c>
      <c r="H31" s="3">
        <f>SUMIF($C$4:$C$88,G31,$E$4:$E$88)</f>
        <v>32.63</v>
      </c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Retail – Local shops (Hippie Chick, Southport Spices, Mad River, Coastal Carolina)</t>
        </is>
      </c>
      <c r="D32" s="2" t="inlineStr">
        <is>
          <t xml:space="preserve">Retail</t>
        </is>
      </c>
      <c r="E32" s="3">
        <v>36.99</v>
      </c>
      <c r="G32" s="2" t="inlineStr">
        <is>
          <t xml:space="preserve">Streaming – Frndly TV</t>
        </is>
      </c>
      <c r="H32" s="3">
        <f>SUMIF($C$4:$C$88,G32,$E$4:$E$88)</f>
        <v>22.41</v>
      </c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  <c r="G33" s="2" t="inlineStr">
        <is>
          <t xml:space="preserve">Streaming – Disney (via Roku)</t>
        </is>
      </c>
      <c r="H33" s="3">
        <f>SUMIF($C$4:$C$88,G33,$E$4:$E$88)</f>
        <v>20.27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Groceries</t>
        </is>
      </c>
      <c r="D34" s="2" t="inlineStr">
        <is>
          <t xml:space="preserve">Food</t>
        </is>
      </c>
      <c r="E34" s="3">
        <v>121.64</v>
      </c>
      <c r="G34" s="2" t="inlineStr">
        <is>
          <t xml:space="preserve">Retail – Ross</t>
        </is>
      </c>
      <c r="H34" s="3">
        <f>SUMIF($C$4:$C$88,G34,$E$4:$E$88)</f>
        <v>16.32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  <c r="G35" s="2" t="inlineStr">
        <is>
          <t xml:space="preserve">Streaming – ESPN (Sept billed as Disney Plus)</t>
        </is>
      </c>
      <c r="H35" s="3">
        <f>SUMIF($C$4:$C$88,G35,$E$4:$E$88)</f>
        <v>13.87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  <c r="G36" s="8" t="inlineStr">
        <is>
          <t xml:space="preserve">Total spending</t>
        </is>
      </c>
      <c r="H36" s="9">
        <f>SUM(H4:H35)</f>
        <v>11515.63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  <c r="G38" s="7" t="inlineStr">
        <is>
          <t xml:space="preserve">Not counted as spending</t>
        </is>
      </c>
      <c r="H38" s="7"/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Groceries</t>
        </is>
      </c>
      <c r="D39" s="2" t="inlineStr">
        <is>
          <t xml:space="preserve">Food</t>
        </is>
      </c>
      <c r="E39" s="3">
        <v>221.77</v>
      </c>
      <c r="G39" s="2" t="inlineStr">
        <is>
          <t xml:space="preserve">Credit Card Payoff – American Express</t>
        </is>
      </c>
      <c r="H39" s="3">
        <f>SUMIF($C$4:$C$88,G39,$E$4:$E$88)</f>
        <v>4738.51</v>
      </c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WTW Health Premium (reimbursed by Via Benefits)</t>
        </is>
      </c>
      <c r="D40" s="2" t="inlineStr">
        <is>
          <t xml:space="preserve">Excluded</t>
        </is>
      </c>
      <c r="E40" s="3">
        <v>2576.0</v>
      </c>
      <c r="G40" s="2" t="inlineStr">
        <is>
          <t xml:space="preserve">WTW Health Premium (reimbursed by Via Benefits)</t>
        </is>
      </c>
      <c r="H40" s="3">
        <f>SUMIF($C$4:$C$88,G40,$E$4:$E$88)</f>
        <v>2576.0</v>
      </c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&amp; Pharmacy</t>
        </is>
      </c>
      <c r="D43" s="2" t="inlineStr">
        <is>
          <t xml:space="preserve">Health</t>
        </is>
      </c>
      <c r="E43" s="3">
        <v>100.28</v>
      </c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Retail – Lowe's (home improvement)</t>
        </is>
      </c>
      <c r="D46" s="2" t="inlineStr">
        <is>
          <t xml:space="preserve">Retail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– ESPN (Sept billed as Disney Plus)</t>
        </is>
      </c>
      <c r="D50" s="2" t="inlineStr">
        <is>
          <t xml:space="preserve">Streaming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– YouTube TV (Google)</t>
        </is>
      </c>
      <c r="D51" s="2" t="inlineStr">
        <is>
          <t xml:space="preserve">Streaming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Groceries</t>
        </is>
      </c>
      <c r="D54" s="2" t="inlineStr">
        <is>
          <t xml:space="preserve">Food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Debt Payments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Yard Company (NextGen)</t>
        </is>
      </c>
      <c r="D57" s="2" t="inlineStr">
        <is>
          <t xml:space="preserve">Home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Tolls &amp; Parking</t>
        </is>
      </c>
      <c r="D58" s="2" t="inlineStr">
        <is>
          <t xml:space="preserve">Transportation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Retail – Marshalls</t>
        </is>
      </c>
      <c r="D62" s="2" t="inlineStr">
        <is>
          <t xml:space="preserve">Retail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Retail – Hobby Lobby</t>
        </is>
      </c>
      <c r="D63" s="2" t="inlineStr">
        <is>
          <t xml:space="preserve">Retail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Retail – Ross</t>
        </is>
      </c>
      <c r="D68" s="2" t="inlineStr">
        <is>
          <t xml:space="preserve">Retail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Groceries</t>
        </is>
      </c>
      <c r="D76" s="2" t="inlineStr">
        <is>
          <t xml:space="preserve">Food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Phone &amp; Internet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Payoff – American Express</t>
        </is>
      </c>
      <c r="D79" s="2" t="inlineStr">
        <is>
          <t xml:space="preserve">Excluded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Retail – Local shops (Hippie Chick, Southport Spices, Mad River, Coastal Carolina)</t>
        </is>
      </c>
      <c r="D80" s="2" t="inlineStr">
        <is>
          <t xml:space="preserve">Retail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Groceries</t>
        </is>
      </c>
      <c r="D85" s="2" t="inlineStr">
        <is>
          <t xml:space="preserve">Food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spending</t>
        </is>
      </c>
      <c r="E89" s="9">
        <f>SUMIF(D4:D88,"&lt;&gt;Excluded",E4:E88)</f>
        <v>11515.63</v>
      </c>
    </row>
    <row r="90">
      <c r="D90" s="7" t="inlineStr">
        <is>
          <t xml:space="preserve">Not counted (Excluded)</t>
        </is>
      </c>
      <c r="E90" s="6">
        <f>SUMIF(D4:D88,"Excluded",E4:E88)</f>
        <v>7314.51</v>
      </c>
    </row>
  </sheetData>
  <autoFilter ref="A3:E88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Retail – Belk (store card payments)</t>
        </is>
      </c>
      <c r="E9" s="2" t="inlineStr">
        <is>
          <t xml:space="preserve">Retail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– YouTube TV (Google)</t>
        </is>
      </c>
      <c r="E10" s="2" t="inlineStr">
        <is>
          <t xml:space="preserve">Streaming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– YouTube TV (Google)</t>
        </is>
      </c>
      <c r="E11" s="2" t="inlineStr">
        <is>
          <t xml:space="preserve">Streaming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– Disney (via Roku)</t>
        </is>
      </c>
      <c r="E12" s="2" t="inlineStr">
        <is>
          <t xml:space="preserve">Streaming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Groceries</t>
        </is>
      </c>
      <c r="E13" s="2" t="inlineStr">
        <is>
          <t xml:space="preserve">Food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Retail – Local shops (Hippie Chick, Southport Spices, Mad River, Coastal Carolina)</t>
        </is>
      </c>
      <c r="E16" s="2" t="inlineStr">
        <is>
          <t xml:space="preserve">Retail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Retail – Bath &amp; Body Works</t>
        </is>
      </c>
      <c r="E19" s="2" t="inlineStr">
        <is>
          <t xml:space="preserve">Retail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Retail – Ulta Beauty</t>
        </is>
      </c>
      <c r="E20" s="2" t="inlineStr">
        <is>
          <t xml:space="preserve">Retail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Groceries</t>
        </is>
      </c>
      <c r="E22" s="2" t="inlineStr">
        <is>
          <t xml:space="preserve">Food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Excluded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Groceries</t>
        </is>
      </c>
      <c r="E31" s="2" t="inlineStr">
        <is>
          <t xml:space="preserve">Food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– Frndly TV</t>
        </is>
      </c>
      <c r="E33" s="2" t="inlineStr">
        <is>
          <t xml:space="preserve">Streaming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Personal Care (Hair Salon, Beauty)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Excluded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Retail – Lowe's (home improvement)</t>
        </is>
      </c>
      <c r="E39" s="2" t="inlineStr">
        <is>
          <t xml:space="preserve">Retail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WTW Health Premium (reimbursed by Via Benefits)</t>
        </is>
      </c>
      <c r="E40" s="2" t="inlineStr">
        <is>
          <t xml:space="preserve">Excluded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Internet – Focus Broadband</t>
        </is>
      </c>
      <c r="E46" s="2" t="inlineStr">
        <is>
          <t xml:space="preserve">Phone &amp; Internet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Retail – Ross</t>
        </is>
      </c>
      <c r="E52" s="2" t="inlineStr">
        <is>
          <t xml:space="preserve">Retail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Retail – Ulta Beauty</t>
        </is>
      </c>
      <c r="E53" s="2" t="inlineStr">
        <is>
          <t xml:space="preserve">Retail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Groceries</t>
        </is>
      </c>
      <c r="E58" s="2" t="inlineStr">
        <is>
          <t xml:space="preserve">Food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Groceries</t>
        </is>
      </c>
      <c r="E65" s="2" t="inlineStr">
        <is>
          <t xml:space="preserve">Food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– ESPN (Sept billed as Disney Plus)</t>
        </is>
      </c>
      <c r="E66" s="2" t="inlineStr">
        <is>
          <t xml:space="preserve">Streaming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Debt Payments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Groceries</t>
        </is>
      </c>
      <c r="E70" s="2" t="inlineStr">
        <is>
          <t xml:space="preserve">Food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Groceries</t>
        </is>
      </c>
      <c r="E75" s="2" t="inlineStr">
        <is>
          <t xml:space="preserve">Food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Groceries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Groceries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Retail – Local shops (Hippie Chick, Southport Spices, Mad River, Coastal Carolina)</t>
        </is>
      </c>
      <c r="E83" s="2" t="inlineStr">
        <is>
          <t xml:space="preserve">Retail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Retail – Local shops (Hippie Chick, Southport Spices, Mad River, Coastal Carolina)</t>
        </is>
      </c>
      <c r="E84" s="2" t="inlineStr">
        <is>
          <t xml:space="preserve">Retail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Groceries</t>
        </is>
      </c>
      <c r="E85" s="2" t="inlineStr">
        <is>
          <t xml:space="preserve">Food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Retail – Target</t>
        </is>
      </c>
      <c r="E86" s="2" t="inlineStr">
        <is>
          <t xml:space="preserve">Retail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– Peacock (via Roku)</t>
        </is>
      </c>
      <c r="E111" s="2" t="inlineStr">
        <is>
          <t xml:space="preserve">Streaming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Medical &amp;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– HBO Max</t>
        </is>
      </c>
      <c r="E113" s="2" t="inlineStr">
        <is>
          <t xml:space="preserve">Streaming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Medical &amp;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Groceries</t>
        </is>
      </c>
      <c r="E115" s="2" t="inlineStr">
        <is>
          <t xml:space="preserve">Food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Phone &amp; Internet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Yard Company (NextGen)</t>
        </is>
      </c>
      <c r="E119" s="2" t="inlineStr">
        <is>
          <t xml:space="preserve">Home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Personal Care (Hair Salon, Beauty)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– Hulu</t>
        </is>
      </c>
      <c r="E125" s="2" t="inlineStr">
        <is>
          <t xml:space="preserve">Streaming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Groceries</t>
        </is>
      </c>
      <c r="E127" s="2" t="inlineStr">
        <is>
          <t xml:space="preserve">Food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Own WF Account</t>
        </is>
      </c>
      <c r="E132" s="2" t="inlineStr">
        <is>
          <t xml:space="preserve">Excluded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Payoff – American Express</t>
        </is>
      </c>
      <c r="E133" s="2" t="inlineStr">
        <is>
          <t xml:space="preserve">Excluded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Payoff – American Express</t>
        </is>
      </c>
      <c r="E134" s="2" t="inlineStr">
        <is>
          <t xml:space="preserve">Excluded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Groceries</t>
        </is>
      </c>
      <c r="E140" s="2" t="inlineStr">
        <is>
          <t xml:space="preserve">Food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Groceries</t>
        </is>
      </c>
      <c r="E142" s="2" t="inlineStr">
        <is>
          <t xml:space="preserve">Food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– YouTube TV (Google)</t>
        </is>
      </c>
      <c r="E143" s="2" t="inlineStr">
        <is>
          <t xml:space="preserve">Streaming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– YouTube TV (Google)</t>
        </is>
      </c>
      <c r="E144" s="2" t="inlineStr">
        <is>
          <t xml:space="preserve">Streaming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– Disney (via Roku)</t>
        </is>
      </c>
      <c r="E145" s="2" t="inlineStr">
        <is>
          <t xml:space="preserve">Streaming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Retail – Walmart</t>
        </is>
      </c>
      <c r="E147" s="2" t="inlineStr">
        <is>
          <t xml:space="preserve">Retail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Medical &amp;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Retail – Walmart</t>
        </is>
      </c>
      <c r="E149" s="2" t="inlineStr">
        <is>
          <t xml:space="preserve">Retail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Restaurants &amp; Takeout</t>
        </is>
      </c>
      <c r="E150" s="2" t="inlineStr">
        <is>
          <t xml:space="preserve">Food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Groceries</t>
        </is>
      </c>
      <c r="E151" s="2" t="inlineStr">
        <is>
          <t xml:space="preserve">Food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Restaurants &amp; Takeout</t>
        </is>
      </c>
      <c r="E153" s="2" t="inlineStr">
        <is>
          <t xml:space="preserve">Food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Retail – Walmart</t>
        </is>
      </c>
      <c r="E156" s="2" t="inlineStr">
        <is>
          <t xml:space="preserve">Retail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Restaurants &amp; Takeout</t>
        </is>
      </c>
      <c r="E159" s="2" t="inlineStr">
        <is>
          <t xml:space="preserve">Food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Groceries</t>
        </is>
      </c>
      <c r="E162" s="2" t="inlineStr">
        <is>
          <t xml:space="preserve">Food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Groceries</t>
        </is>
      </c>
      <c r="E166" s="2" t="inlineStr">
        <is>
          <t xml:space="preserve">Food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– Frndly TV</t>
        </is>
      </c>
      <c r="E167" s="2" t="inlineStr">
        <is>
          <t xml:space="preserve">Streaming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Payoff – American Express</t>
        </is>
      </c>
      <c r="E172" s="2" t="inlineStr">
        <is>
          <t xml:space="preserve">Excluded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Yard Company (NextGen)</t>
        </is>
      </c>
      <c r="E173" s="2" t="inlineStr">
        <is>
          <t xml:space="preserve">Home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Retail – Walmart</t>
        </is>
      </c>
      <c r="E174" s="2" t="inlineStr">
        <is>
          <t xml:space="preserve">Retail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Groceries</t>
        </is>
      </c>
      <c r="E175" s="2" t="inlineStr">
        <is>
          <t xml:space="preserve">Food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WTW Health Premium (reimbursed by Via Benefits)</t>
        </is>
      </c>
      <c r="E176" s="2" t="inlineStr">
        <is>
          <t xml:space="preserve">Excluded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Groceries</t>
        </is>
      </c>
      <c r="E179" s="2" t="inlineStr">
        <is>
          <t xml:space="preserve">Food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Groceries</t>
        </is>
      </c>
      <c r="E180" s="2" t="inlineStr">
        <is>
          <t xml:space="preserve">Food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Retail – Dick's Sporting Goods</t>
        </is>
      </c>
      <c r="E183" s="2" t="inlineStr">
        <is>
          <t xml:space="preserve">Retail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Medical &amp;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Groceries</t>
        </is>
      </c>
      <c r="E186" s="2" t="inlineStr">
        <is>
          <t xml:space="preserve">Food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Retail – Belk (store card payments)</t>
        </is>
      </c>
      <c r="E187" s="2" t="inlineStr">
        <is>
          <t xml:space="preserve">Retail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– ESPN (Sept billed as Disney Plus)</t>
        </is>
      </c>
      <c r="E193" s="2" t="inlineStr">
        <is>
          <t xml:space="preserve">Streaming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Groceries</t>
        </is>
      </c>
      <c r="E194" s="2" t="inlineStr">
        <is>
          <t xml:space="preserve">Food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Debt Payments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(Cleaning, Pest, Lawn)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Groceries</t>
        </is>
      </c>
      <c r="E206" s="2" t="inlineStr">
        <is>
          <t xml:space="preserve">Food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Groceries</t>
        </is>
      </c>
      <c r="E208" s="2" t="inlineStr">
        <is>
          <t xml:space="preserve">Food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Retail – Belk (store card payments)</t>
        </is>
      </c>
      <c r="E209" s="2" t="inlineStr">
        <is>
          <t xml:space="preserve">Retail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Payoff – American Express</t>
        </is>
      </c>
      <c r="E213" s="2" t="inlineStr">
        <is>
          <t xml:space="preserve">Excluded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Groceries</t>
        </is>
      </c>
      <c r="E216" s="2" t="inlineStr">
        <is>
          <t xml:space="preserve">Food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Groceries</t>
        </is>
      </c>
      <c r="E218" s="2" t="inlineStr">
        <is>
          <t xml:space="preserve">Food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Groceries</t>
        </is>
      </c>
      <c r="E220" s="2" t="inlineStr">
        <is>
          <t xml:space="preserve">Food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Groceries</t>
        </is>
      </c>
      <c r="E226" s="2" t="inlineStr">
        <is>
          <t xml:space="preserve">Food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Medical &amp;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Entertainment &amp; Events</t>
        </is>
      </c>
      <c r="E228" s="2" t="inlineStr">
        <is>
          <t xml:space="preserve">Recreation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Entertainment &amp; Events</t>
        </is>
      </c>
      <c r="E229" s="2" t="inlineStr">
        <is>
          <t xml:space="preserve">Recreation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Entertainment &amp; Events</t>
        </is>
      </c>
      <c r="E230" s="2" t="inlineStr">
        <is>
          <t xml:space="preserve">Recreation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Entertainment &amp; Events</t>
        </is>
      </c>
      <c r="E231" s="2" t="inlineStr">
        <is>
          <t xml:space="preserve">Recreation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Groceries</t>
        </is>
      </c>
      <c r="E234" s="2" t="inlineStr">
        <is>
          <t xml:space="preserve">Food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Phone &amp; Internet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– Peacock (via Roku)</t>
        </is>
      </c>
      <c r="E236" s="2" t="inlineStr">
        <is>
          <t xml:space="preserve">Streaming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Sloane Realty</t>
        </is>
      </c>
      <c r="E238" s="2" t="inlineStr">
        <is>
          <t xml:space="preserve">Excluded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– HBO Max</t>
        </is>
      </c>
      <c r="E240" s="2" t="inlineStr">
        <is>
          <t xml:space="preserve">Streaming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Home Services (Cleaning, Pest, Lawn)</t>
        </is>
      </c>
      <c r="E243" s="2" t="inlineStr">
        <is>
          <t xml:space="preserve">Home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Retail – Dollar Tree / Dollar General</t>
        </is>
      </c>
      <c r="E244" s="2" t="inlineStr">
        <is>
          <t xml:space="preserve">Retail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– Hulu</t>
        </is>
      </c>
      <c r="E252" s="2" t="inlineStr">
        <is>
          <t xml:space="preserve">Streaming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Groceries</t>
        </is>
      </c>
      <c r="E253" s="2" t="inlineStr">
        <is>
          <t xml:space="preserve">Food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Payoff – American Express</t>
        </is>
      </c>
      <c r="E254" s="2" t="inlineStr">
        <is>
          <t xml:space="preserve">Excluded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Personal Care (Hair Salon, Beauty)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Internet – Focus Broadband</t>
        </is>
      </c>
      <c r="E257" s="2" t="inlineStr">
        <is>
          <t xml:space="preserve">Phone &amp; Internet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&amp; Pharmacy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Yard Company (NextGen)</t>
        </is>
      </c>
      <c r="E261" s="2" t="inlineStr">
        <is>
          <t xml:space="preserve">Home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(Cleaning, Pest, Lawn)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– YouTube TV (Google)</t>
        </is>
      </c>
      <c r="E263" s="2" t="inlineStr">
        <is>
          <t xml:space="preserve">Streaming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Groceries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– Disney (via Roku)</t>
        </is>
      </c>
      <c r="E266" s="2" t="inlineStr">
        <is>
          <t xml:space="preserve">Streaming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Medical &amp;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Retail – Walmart</t>
        </is>
      </c>
      <c r="E278" s="2" t="inlineStr">
        <is>
          <t xml:space="preserve">Retail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Groceries</t>
        </is>
      </c>
      <c r="E284" s="2" t="inlineStr">
        <is>
          <t xml:space="preserve">Food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Groceries</t>
        </is>
      </c>
      <c r="E288" s="2" t="inlineStr">
        <is>
          <t xml:space="preserve">Food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Retail – Dollar Tree / Dollar General</t>
        </is>
      </c>
      <c r="E289" s="2" t="inlineStr">
        <is>
          <t xml:space="preserve">Retail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Retail – Hobby Lobby</t>
        </is>
      </c>
      <c r="E290" s="2" t="inlineStr">
        <is>
          <t xml:space="preserve">Retail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Groceries</t>
        </is>
      </c>
      <c r="E291" s="2" t="inlineStr">
        <is>
          <t xml:space="preserve">Food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Yard Company (NextGen)</t>
        </is>
      </c>
      <c r="E293" s="2" t="inlineStr">
        <is>
          <t xml:space="preserve">Home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– Frndly TV</t>
        </is>
      </c>
      <c r="E294" s="2" t="inlineStr">
        <is>
          <t xml:space="preserve">Streaming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Groceries</t>
        </is>
      </c>
      <c r="E295" s="2" t="inlineStr">
        <is>
          <t xml:space="preserve">Food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Home Services (Cleaning, Pest, Lawn)</t>
        </is>
      </c>
      <c r="E296" s="2" t="inlineStr">
        <is>
          <t xml:space="preserve">Home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Excluded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Medical &amp;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Groceries</t>
        </is>
      </c>
      <c r="E299" s="2" t="inlineStr">
        <is>
          <t xml:space="preserve">Food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WTW Health Premium (reimbursed by Via Benefits)</t>
        </is>
      </c>
      <c r="E301" s="2" t="inlineStr">
        <is>
          <t xml:space="preserve">Excluded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Retail – Lowe's (home improvement)</t>
        </is>
      </c>
      <c r="E303" s="2" t="inlineStr">
        <is>
          <t xml:space="preserve">Retail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Internet – Focus Broadband</t>
        </is>
      </c>
      <c r="E304" s="2" t="inlineStr">
        <is>
          <t xml:space="preserve">Phone &amp; Internet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&amp; Events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Retail – Walmart</t>
        </is>
      </c>
      <c r="E308" s="2" t="inlineStr">
        <is>
          <t xml:space="preserve">Retail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Groceries</t>
        </is>
      </c>
      <c r="E311" s="2" t="inlineStr">
        <is>
          <t xml:space="preserve">Food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Excluded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– ESPN (Sept billed as Disney Plus)</t>
        </is>
      </c>
      <c r="E316" s="2" t="inlineStr">
        <is>
          <t xml:space="preserve">Streaming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&amp; Pharmacy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Retail – HomeSense</t>
        </is>
      </c>
      <c r="E318" s="2" t="inlineStr">
        <is>
          <t xml:space="preserve">Retail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Retail – Dillard's</t>
        </is>
      </c>
      <c r="E319" s="2" t="inlineStr">
        <is>
          <t xml:space="preserve">Retail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Debt Payments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Groceries</t>
        </is>
      </c>
      <c r="E324" s="2" t="inlineStr">
        <is>
          <t xml:space="preserve">Food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Retail – Hobby Lobby</t>
        </is>
      </c>
      <c r="E326" s="2" t="inlineStr">
        <is>
          <t xml:space="preserve">Retail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Groceries</t>
        </is>
      </c>
      <c r="E328" s="2" t="inlineStr">
        <is>
          <t xml:space="preserve">Food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Yard Company (NextGen)</t>
        </is>
      </c>
      <c r="E332" s="2" t="inlineStr">
        <is>
          <t xml:space="preserve">Home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Retail – Tractor Supply</t>
        </is>
      </c>
      <c r="E333" s="2" t="inlineStr">
        <is>
          <t xml:space="preserve">Retail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Groceries</t>
        </is>
      </c>
      <c r="E334" s="2" t="inlineStr">
        <is>
          <t xml:space="preserve">Food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Excluded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Medical &amp;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Payoff – American Express</t>
        </is>
      </c>
      <c r="E338" s="2" t="inlineStr">
        <is>
          <t xml:space="preserve">Excluded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Personal Care (Hair Salon, Beauty)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Retail – Walmart</t>
        </is>
      </c>
      <c r="E341" s="2" t="inlineStr">
        <is>
          <t xml:space="preserve">Retail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Groceries</t>
        </is>
      </c>
      <c r="E345" s="2" t="inlineStr">
        <is>
          <t xml:space="preserve">Food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Groceries</t>
        </is>
      </c>
      <c r="E346" s="2" t="inlineStr">
        <is>
          <t xml:space="preserve">Food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Phone &amp; Internet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Retail – Dillard's</t>
        </is>
      </c>
      <c r="E349" s="2" t="inlineStr">
        <is>
          <t xml:space="preserve">Retail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Groceries</t>
        </is>
      </c>
      <c r="E350" s="2" t="inlineStr">
        <is>
          <t xml:space="preserve">Food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Restaurants &amp; Takeout</t>
        </is>
      </c>
      <c r="E353" s="2" t="inlineStr">
        <is>
          <t xml:space="preserve">Food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&amp; Pharmacy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– YouTube TV (Google)</t>
        </is>
      </c>
      <c r="E357" s="2" t="inlineStr">
        <is>
          <t xml:space="preserve">Streaming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– Disney (via Roku)</t>
        </is>
      </c>
      <c r="E358" s="2" t="inlineStr">
        <is>
          <t xml:space="preserve">Streaming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Retail – Walmart</t>
        </is>
      </c>
      <c r="E359" s="2" t="inlineStr">
        <is>
          <t xml:space="preserve">Retail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Groceries</t>
        </is>
      </c>
      <c r="E361" s="2" t="inlineStr">
        <is>
          <t xml:space="preserve">Food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Groceries</t>
        </is>
      </c>
      <c r="E364" s="2" t="inlineStr">
        <is>
          <t xml:space="preserve">Food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Yard Company (NextGen)</t>
        </is>
      </c>
      <c r="E365" s="2" t="inlineStr">
        <is>
          <t xml:space="preserve">Home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Groceries</t>
        </is>
      </c>
      <c r="E366" s="2" t="inlineStr">
        <is>
          <t xml:space="preserve">Food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Groceries</t>
        </is>
      </c>
      <c r="E367" s="2" t="inlineStr">
        <is>
          <t xml:space="preserve">Food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(Hair Salon, Beauty)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Groceries</t>
        </is>
      </c>
      <c r="E375" s="2" t="inlineStr">
        <is>
          <t xml:space="preserve">Food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Personal Care (Hair Salon, Beauty)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– Frndly TV</t>
        </is>
      </c>
      <c r="E378" s="2" t="inlineStr">
        <is>
          <t xml:space="preserve">Streaming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Retail – Local shops (Hippie Chick, Southport Spices, Mad River, Coastal Carolina)</t>
        </is>
      </c>
      <c r="E379" s="2" t="inlineStr">
        <is>
          <t xml:space="preserve">Retail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Retail – Local shops (Hippie Chick, Southport Spices, Mad River, Coastal Carolina)</t>
        </is>
      </c>
      <c r="E380" s="2" t="inlineStr">
        <is>
          <t xml:space="preserve">Retail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Groceries</t>
        </is>
      </c>
      <c r="E382" s="2" t="inlineStr">
        <is>
          <t xml:space="preserve">Food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Groceries</t>
        </is>
      </c>
      <c r="E387" s="2" t="inlineStr">
        <is>
          <t xml:space="preserve">Food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WTW Health Premium (reimbursed by Via Benefits)</t>
        </is>
      </c>
      <c r="E388" s="2" t="inlineStr">
        <is>
          <t xml:space="preserve">Excluded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&amp; Pharmacy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Internet – Focus Broadband</t>
        </is>
      </c>
      <c r="E393" s="2" t="inlineStr">
        <is>
          <t xml:space="preserve">Phone &amp; Internet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Retail – Lowe's (home improvement)</t>
        </is>
      </c>
      <c r="E394" s="2" t="inlineStr">
        <is>
          <t xml:space="preserve">Retail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– ESPN (Sept billed as Disney Plus)</t>
        </is>
      </c>
      <c r="E398" s="2" t="inlineStr">
        <is>
          <t xml:space="preserve">Streaming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– YouTube TV (Google)</t>
        </is>
      </c>
      <c r="E399" s="2" t="inlineStr">
        <is>
          <t xml:space="preserve">Streaming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Groceries</t>
        </is>
      </c>
      <c r="E402" s="2" t="inlineStr">
        <is>
          <t xml:space="preserve">Food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Debt Payments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Restaurants &amp; Takeout</t>
        </is>
      </c>
      <c r="E404" s="2" t="inlineStr">
        <is>
          <t xml:space="preserve">Food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Yard Company (NextGen)</t>
        </is>
      </c>
      <c r="E405" s="2" t="inlineStr">
        <is>
          <t xml:space="preserve">Home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Tolls &amp; Parking</t>
        </is>
      </c>
      <c r="E406" s="2" t="inlineStr">
        <is>
          <t xml:space="preserve">Transportation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Retail – Marshalls</t>
        </is>
      </c>
      <c r="E410" s="2" t="inlineStr">
        <is>
          <t xml:space="preserve">Retail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Retail – Hobby Lobby</t>
        </is>
      </c>
      <c r="E411" s="2" t="inlineStr">
        <is>
          <t xml:space="preserve">Retail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Retail – Ross</t>
        </is>
      </c>
      <c r="E416" s="2" t="inlineStr">
        <is>
          <t xml:space="preserve">Retail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Groceries</t>
        </is>
      </c>
      <c r="E424" s="2" t="inlineStr">
        <is>
          <t xml:space="preserve">Food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Phone &amp; Internet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Payoff – American Express</t>
        </is>
      </c>
      <c r="E427" s="2" t="inlineStr">
        <is>
          <t xml:space="preserve">Excluded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Retail – Local shops (Hippie Chick, Southport Spices, Mad River, Coastal Carolina)</t>
        </is>
      </c>
      <c r="E428" s="2" t="inlineStr">
        <is>
          <t xml:space="preserve">Retail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Groceries</t>
        </is>
      </c>
      <c r="E433" s="2" t="inlineStr">
        <is>
          <t xml:space="preserve">Food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All withdrawals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