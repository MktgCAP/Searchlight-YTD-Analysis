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Debt Payments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Debt Payments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935.1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872.56</v>
      </c>
      <c r="F42" s="3">
        <f>SUM(B42:E42)</f>
        <v>3789.73</v>
      </c>
      <c r="G42" s="3">
        <f>F42/4</f>
        <v>947.4325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935.1</v>
      </c>
      <c r="D43" s="6">
        <f>SUM(D41:D42)</f>
        <v>968.47</v>
      </c>
      <c r="E43" s="6">
        <f>SUM(E41:E42)</f>
        <v>872.56</v>
      </c>
      <c r="F43" s="6">
        <f>SUM(F41:F42)</f>
        <v>4058.93</v>
      </c>
      <c r="G43" s="6">
        <f>F43/4</f>
        <v>1014.7325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74.24</v>
      </c>
      <c r="F47" s="3">
        <f>SUM(B47:E47)</f>
        <v>98.52</v>
      </c>
      <c r="G47" s="3">
        <f>F47/4</f>
        <v>24.63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313.22</v>
      </c>
      <c r="F48" s="6">
        <f>SUM(F46:F47)</f>
        <v>891.51</v>
      </c>
      <c r="G48" s="6">
        <f>F48/4</f>
        <v>222.8775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Medical &amp;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850.9</v>
      </c>
      <c r="E66" s="3">
        <f>SUMIFS('All Transactions'!$F$5:$F$436,'All Transactions'!$D$5:$D$436,$A66,'All Transactions'!$A$5:$A$436,E$4)</f>
        <v>160.28</v>
      </c>
      <c r="F66" s="3">
        <f>SUM(B66:E66)</f>
        <v>1272.18</v>
      </c>
      <c r="G66" s="3">
        <f>F66/4</f>
        <v>318.045</v>
      </c>
    </row>
    <row r="67">
      <c r="A67" s="7" t="inlineStr">
        <is>
          <t xml:space="preserve">Total Health</t>
        </is>
      </c>
      <c r="B67" s="6">
        <f>SUM(B66:B66)</f>
        <v>160.07</v>
      </c>
      <c r="C67" s="6">
        <f>SUM(C66:C66)</f>
        <v>100.93</v>
      </c>
      <c r="D67" s="6">
        <f>SUM(D66:D66)</f>
        <v>850.9</v>
      </c>
      <c r="E67" s="6">
        <f>SUM(E66:E66)</f>
        <v>160.28</v>
      </c>
      <c r="F67" s="6">
        <f>SUM(F66:F66)</f>
        <v>1272.18</v>
      </c>
      <c r="G67" s="6">
        <f>F67/4</f>
        <v>318.045</v>
      </c>
    </row>
    <row r="69">
      <c r="A69" s="5" t="inlineStr">
        <is>
          <t xml:space="preserve">Personal</t>
        </is>
      </c>
    </row>
    <row r="70">
      <c r="A70" s="12" t="inlineStr">
        <is>
          <t xml:space="preserve">Personal Care (Hair Salon, Beauty)</t>
        </is>
      </c>
      <c r="B70" s="3">
        <f>SUMIFS('All Transactions'!$F$5:$F$436,'All Transactions'!$D$5:$D$436,$A70,'All Transactions'!$A$5:$A$436,B$4)</f>
        <v>182.5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182.5</v>
      </c>
      <c r="E70" s="3">
        <f>SUMIFS('All Transactions'!$F$5:$F$436,'All Transactions'!$D$5:$D$436,$A70,'All Transactions'!$A$5:$A$436,E$4)</f>
        <v>114.5</v>
      </c>
      <c r="F70" s="3">
        <f>SUM(B70:E70)</f>
        <v>479.5</v>
      </c>
      <c r="G70" s="3">
        <f>F70/4</f>
        <v>119.875</v>
      </c>
    </row>
    <row r="71">
      <c r="A71" s="7" t="inlineStr">
        <is>
          <t xml:space="preserve">Total Personal</t>
        </is>
      </c>
      <c r="B71" s="6">
        <f>SUM(B70:B70)</f>
        <v>182.5</v>
      </c>
      <c r="C71" s="6">
        <f>SUM(C70:C70)</f>
        <v>0</v>
      </c>
      <c r="D71" s="6">
        <f>SUM(D70:D70)</f>
        <v>182.5</v>
      </c>
      <c r="E71" s="6">
        <f>SUM(E70:E70)</f>
        <v>114.5</v>
      </c>
      <c r="F71" s="6">
        <f>SUM(F70:F70)</f>
        <v>479.5</v>
      </c>
      <c r="G71" s="6">
        <f>F71/4</f>
        <v>119.875</v>
      </c>
    </row>
    <row r="73">
      <c r="A73" s="5" t="inlineStr">
        <is>
          <t xml:space="preserve">Retail</t>
        </is>
      </c>
    </row>
    <row r="74">
      <c r="A74" s="12" t="inlineStr">
        <is>
          <t xml:space="preserve">Retail – Walmart</t>
        </is>
      </c>
      <c r="B74" s="3">
        <f>SUMIFS('All Transactions'!$F$5:$F$436,'All Transactions'!$D$5:$D$436,$A74,'All Transactions'!$A$5:$A$436,B$4)</f>
        <v>0</v>
      </c>
      <c r="C74" s="3">
        <f>SUMIFS('All Transactions'!$F$5:$F$436,'All Transactions'!$D$5:$D$436,$A74,'All Transactions'!$A$5:$A$436,C$4)</f>
        <v>132.66</v>
      </c>
      <c r="D74" s="3">
        <f>SUMIFS('All Transactions'!$F$5:$F$436,'All Transactions'!$D$5:$D$436,$A74,'All Transactions'!$A$5:$A$436,D$4)</f>
        <v>1732.6</v>
      </c>
      <c r="E74" s="3">
        <f>SUMIFS('All Transactions'!$F$5:$F$436,'All Transactions'!$D$5:$D$436,$A74,'All Transactions'!$A$5:$A$436,E$4)</f>
        <v>32.63</v>
      </c>
      <c r="F74" s="3">
        <f>SUM(B74:E74)</f>
        <v>1897.89</v>
      </c>
      <c r="G74" s="3">
        <f>F74/4</f>
        <v>474.4725</v>
      </c>
    </row>
    <row r="75">
      <c r="A75" s="12" t="inlineStr">
        <is>
          <t xml:space="preserve">Retail – Belk (store card payments)</t>
        </is>
      </c>
      <c r="B75" s="3">
        <f>SUMIFS('All Transactions'!$F$5:$F$436,'All Transactions'!$D$5:$D$436,$A75,'All Transactions'!$A$5:$A$436,B$4)</f>
        <v>386.69</v>
      </c>
      <c r="C75" s="3">
        <f>SUMIFS('All Transactions'!$F$5:$F$436,'All Transactions'!$D$5:$D$436,$A75,'All Transactions'!$A$5:$A$436,C$4)</f>
        <v>948.04</v>
      </c>
      <c r="D75" s="3">
        <f>SUMIFS('All Transactions'!$F$5:$F$436,'All Transactions'!$D$5:$D$436,$A75,'All Transactions'!$A$5:$A$436,D$4)</f>
        <v>0</v>
      </c>
      <c r="E75" s="3">
        <f>SUMIFS('All Transactions'!$F$5:$F$436,'All Transactions'!$D$5:$D$436,$A75,'All Transactions'!$A$5:$A$436,E$4)</f>
        <v>0</v>
      </c>
      <c r="F75" s="3">
        <f>SUM(B75:E75)</f>
        <v>1334.73</v>
      </c>
      <c r="G75" s="3">
        <f>F75/4</f>
        <v>333.6825</v>
      </c>
    </row>
    <row r="76">
      <c r="A76" s="12" t="inlineStr">
        <is>
          <t xml:space="preserve">Retail – Marshalls</t>
        </is>
      </c>
      <c r="B76" s="3">
        <f>SUMIFS('All Transactions'!$F$5:$F$436,'All Transactions'!$D$5:$D$436,$A76,'All Transactions'!$A$5:$A$436,B$4)</f>
        <v>0</v>
      </c>
      <c r="C76" s="3">
        <f>SUMIFS('All Transactions'!$F$5:$F$436,'All Transactions'!$D$5:$D$436,$A76,'All Transactions'!$A$5:$A$436,C$4)</f>
        <v>0</v>
      </c>
      <c r="D76" s="3">
        <f>SUMIFS('All Transactions'!$F$5:$F$436,'All Transactions'!$D$5:$D$436,$A76,'All Transactions'!$A$5:$A$436,D$4)</f>
        <v>0</v>
      </c>
      <c r="E76" s="3">
        <f>SUMIFS('All Transactions'!$F$5:$F$436,'All Transactions'!$D$5:$D$436,$A76,'All Transactions'!$A$5:$A$436,E$4)</f>
        <v>41.59</v>
      </c>
      <c r="F76" s="3">
        <f>SUM(B76:E76)</f>
        <v>41.59</v>
      </c>
      <c r="G76" s="3">
        <f>F76/4</f>
        <v>10.3975</v>
      </c>
    </row>
    <row r="77">
      <c r="A77" s="12" t="inlineStr">
        <is>
          <t xml:space="preserve">Retail – Ross</t>
        </is>
      </c>
      <c r="B77" s="3">
        <f>SUMIFS('All Transactions'!$F$5:$F$436,'All Transactions'!$D$5:$D$436,$A77,'All Transactions'!$A$5:$A$436,B$4)</f>
        <v>48.03</v>
      </c>
      <c r="C77" s="3">
        <f>SUMIFS('All Transactions'!$F$5:$F$436,'All Transactions'!$D$5:$D$436,$A77,'All Transactions'!$A$5:$A$436,C$4)</f>
        <v>0</v>
      </c>
      <c r="D77" s="3">
        <f>SUMIFS('All Transactions'!$F$5:$F$436,'All Transactions'!$D$5:$D$436,$A77,'All Transactions'!$A$5:$A$436,D$4)</f>
        <v>0</v>
      </c>
      <c r="E77" s="3">
        <f>SUMIFS('All Transactions'!$F$5:$F$436,'All Transactions'!$D$5:$D$436,$A77,'All Transactions'!$A$5:$A$436,E$4)</f>
        <v>16.32</v>
      </c>
      <c r="F77" s="3">
        <f>SUM(B77:E77)</f>
        <v>64.35</v>
      </c>
      <c r="G77" s="3">
        <f>F77/4</f>
        <v>16.0875</v>
      </c>
    </row>
    <row r="78">
      <c r="A78" s="12" t="inlineStr">
        <is>
          <t xml:space="preserve">Retail – Dillard's</t>
        </is>
      </c>
      <c r="B78" s="3">
        <f>SUMIFS('All Transactions'!$F$5:$F$436,'All Transactions'!$D$5:$D$436,$A78,'All Transactions'!$A$5:$A$436,B$4)</f>
        <v>0</v>
      </c>
      <c r="C78" s="3">
        <f>SUMIFS('All Transactions'!$F$5:$F$436,'All Transactions'!$D$5:$D$436,$A78,'All Transactions'!$A$5:$A$436,C$4)</f>
        <v>0</v>
      </c>
      <c r="D78" s="3">
        <f>SUMIFS('All Transactions'!$F$5:$F$436,'All Transactions'!$D$5:$D$436,$A78,'All Transactions'!$A$5:$A$436,D$4)</f>
        <v>174.74</v>
      </c>
      <c r="E78" s="3">
        <f>SUMIFS('All Transactions'!$F$5:$F$436,'All Transactions'!$D$5:$D$436,$A78,'All Transactions'!$A$5:$A$436,E$4)</f>
        <v>0</v>
      </c>
      <c r="F78" s="3">
        <f>SUM(B78:E78)</f>
        <v>174.74</v>
      </c>
      <c r="G78" s="3">
        <f>F78/4</f>
        <v>43.685</v>
      </c>
    </row>
    <row r="79">
      <c r="A79" s="12" t="inlineStr">
        <is>
          <t xml:space="preserve">Retail – Target</t>
        </is>
      </c>
      <c r="B79" s="3">
        <f>SUMIFS('All Transactions'!$F$5:$F$436,'All Transactions'!$D$5:$D$436,$A79,'All Transactions'!$A$5:$A$436,B$4)</f>
        <v>58.98</v>
      </c>
      <c r="C79" s="3">
        <f>SUMIFS('All Transactions'!$F$5:$F$436,'All Transactions'!$D$5:$D$436,$A79,'All Transactions'!$A$5:$A$436,C$4)</f>
        <v>0</v>
      </c>
      <c r="D79" s="3">
        <f>SUMIFS('All Transactions'!$F$5:$F$436,'All Transactions'!$D$5:$D$436,$A79,'All Transactions'!$A$5:$A$436,D$4)</f>
        <v>0</v>
      </c>
      <c r="E79" s="3">
        <f>SUMIFS('All Transactions'!$F$5:$F$436,'All Transactions'!$D$5:$D$436,$A79,'All Transactions'!$A$5:$A$436,E$4)</f>
        <v>0</v>
      </c>
      <c r="F79" s="3">
        <f>SUM(B79:E79)</f>
        <v>58.98</v>
      </c>
      <c r="G79" s="3">
        <f>F79/4</f>
        <v>14.745</v>
      </c>
    </row>
    <row r="80">
      <c r="A80" s="12" t="inlineStr">
        <is>
          <t xml:space="preserve">Retail – HomeSense</t>
        </is>
      </c>
      <c r="B80" s="3">
        <f>SUMIFS('All Transactions'!$F$5:$F$436,'All Transactions'!$D$5:$D$436,$A80,'All Transactions'!$A$5:$A$436,B$4)</f>
        <v>0</v>
      </c>
      <c r="C80" s="3">
        <f>SUMIFS('All Transactions'!$F$5:$F$436,'All Transactions'!$D$5:$D$436,$A80,'All Transactions'!$A$5:$A$436,C$4)</f>
        <v>0</v>
      </c>
      <c r="D80" s="3">
        <f>SUMIFS('All Transactions'!$F$5:$F$436,'All Transactions'!$D$5:$D$436,$A80,'All Transactions'!$A$5:$A$436,D$4)</f>
        <v>88.7</v>
      </c>
      <c r="E80" s="3">
        <f>SUMIFS('All Transactions'!$F$5:$F$436,'All Transactions'!$D$5:$D$436,$A80,'All Transactions'!$A$5:$A$436,E$4)</f>
        <v>0</v>
      </c>
      <c r="F80" s="3">
        <f>SUM(B80:E80)</f>
        <v>88.7</v>
      </c>
      <c r="G80" s="3">
        <f>F80/4</f>
        <v>22.175</v>
      </c>
    </row>
    <row r="81">
      <c r="A81" s="12" t="inlineStr">
        <is>
          <t xml:space="preserve">Retail – Hobby Lobby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165.67</v>
      </c>
      <c r="E81" s="3">
        <f>SUMIFS('All Transactions'!$F$5:$F$436,'All Transactions'!$D$5:$D$436,$A81,'All Transactions'!$A$5:$A$436,E$4)</f>
        <v>37.33</v>
      </c>
      <c r="F81" s="3">
        <f>SUM(B81:E81)</f>
        <v>203.0</v>
      </c>
      <c r="G81" s="3">
        <f>F81/4</f>
        <v>50.75</v>
      </c>
    </row>
    <row r="82">
      <c r="A82" s="12" t="inlineStr">
        <is>
          <t xml:space="preserve">Retail – Lowe's (home improvement)</t>
        </is>
      </c>
      <c r="B82" s="3">
        <f>SUMIFS('All Transactions'!$F$5:$F$436,'All Transactions'!$D$5:$D$436,$A82,'All Transactions'!$A$5:$A$436,B$4)</f>
        <v>27.67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171.55</v>
      </c>
      <c r="E82" s="3">
        <f>SUMIFS('All Transactions'!$F$5:$F$436,'All Transactions'!$D$5:$D$436,$A82,'All Transactions'!$A$5:$A$436,E$4)</f>
        <v>85.27</v>
      </c>
      <c r="F82" s="3">
        <f>SUM(B82:E82)</f>
        <v>284.49</v>
      </c>
      <c r="G82" s="3">
        <f>F82/4</f>
        <v>71.1225</v>
      </c>
    </row>
    <row r="83">
      <c r="A83" s="12" t="inlineStr">
        <is>
          <t xml:space="preserve">Retail – Tractor Supply</t>
        </is>
      </c>
      <c r="B83" s="3">
        <f>SUMIFS('All Transactions'!$F$5:$F$436,'All Transactions'!$D$5:$D$436,$A83,'All Transactions'!$A$5:$A$436,B$4)</f>
        <v>0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29.86</v>
      </c>
      <c r="E83" s="3">
        <f>SUMIFS('All Transactions'!$F$5:$F$436,'All Transactions'!$D$5:$D$436,$A83,'All Transactions'!$A$5:$A$436,E$4)</f>
        <v>0</v>
      </c>
      <c r="F83" s="3">
        <f>SUM(B83:E83)</f>
        <v>29.86</v>
      </c>
      <c r="G83" s="3">
        <f>F83/4</f>
        <v>7.465</v>
      </c>
    </row>
    <row r="84">
      <c r="A84" s="12" t="inlineStr">
        <is>
          <t xml:space="preserve">Retail – Dick's Sporting Goods</t>
        </is>
      </c>
      <c r="B84" s="3">
        <f>SUMIFS('All Transactions'!$F$5:$F$436,'All Transactions'!$D$5:$D$436,$A84,'All Transactions'!$A$5:$A$436,B$4)</f>
        <v>0</v>
      </c>
      <c r="C84" s="3">
        <f>SUMIFS('All Transactions'!$F$5:$F$436,'All Transactions'!$D$5:$D$436,$A84,'All Transactions'!$A$5:$A$436,C$4)</f>
        <v>63.61</v>
      </c>
      <c r="D84" s="3">
        <f>SUMIFS('All Transactions'!$F$5:$F$436,'All Transactions'!$D$5:$D$436,$A84,'All Transactions'!$A$5:$A$436,D$4)</f>
        <v>0</v>
      </c>
      <c r="E84" s="3">
        <f>SUMIFS('All Transactions'!$F$5:$F$436,'All Transactions'!$D$5:$D$436,$A84,'All Transactions'!$A$5:$A$436,E$4)</f>
        <v>0</v>
      </c>
      <c r="F84" s="3">
        <f>SUM(B84:E84)</f>
        <v>63.61</v>
      </c>
      <c r="G84" s="3">
        <f>F84/4</f>
        <v>15.9025</v>
      </c>
    </row>
    <row r="85">
      <c r="A85" s="12" t="inlineStr">
        <is>
          <t xml:space="preserve">Retail – Ulta Beauty</t>
        </is>
      </c>
      <c r="B85" s="3">
        <f>SUMIFS('All Transactions'!$F$5:$F$436,'All Transactions'!$D$5:$D$436,$A85,'All Transactions'!$A$5:$A$436,B$4)</f>
        <v>134.71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0</v>
      </c>
      <c r="E85" s="3">
        <f>SUMIFS('All Transactions'!$F$5:$F$436,'All Transactions'!$D$5:$D$436,$A85,'All Transactions'!$A$5:$A$436,E$4)</f>
        <v>0</v>
      </c>
      <c r="F85" s="3">
        <f>SUM(B85:E85)</f>
        <v>134.71</v>
      </c>
      <c r="G85" s="3">
        <f>F85/4</f>
        <v>33.6775</v>
      </c>
    </row>
    <row r="86">
      <c r="A86" s="12" t="inlineStr">
        <is>
          <t xml:space="preserve">Retail – Bath &amp; Body Works</t>
        </is>
      </c>
      <c r="B86" s="3">
        <f>SUMIFS('All Transactions'!$F$5:$F$436,'All Transactions'!$D$5:$D$436,$A86,'All Transactions'!$A$5:$A$436,B$4)</f>
        <v>51.31</v>
      </c>
      <c r="C86" s="3">
        <f>SUMIFS('All Transactions'!$F$5:$F$436,'All Transactions'!$D$5:$D$436,$A86,'All Transactions'!$A$5:$A$436,C$4)</f>
        <v>0</v>
      </c>
      <c r="D86" s="3">
        <f>SUMIFS('All Transactions'!$F$5:$F$436,'All Transactions'!$D$5:$D$436,$A86,'All Transactions'!$A$5:$A$436,D$4)</f>
        <v>0</v>
      </c>
      <c r="E86" s="3">
        <f>SUMIFS('All Transactions'!$F$5:$F$436,'All Transactions'!$D$5:$D$436,$A86,'All Transactions'!$A$5:$A$436,E$4)</f>
        <v>0</v>
      </c>
      <c r="F86" s="3">
        <f>SUM(B86:E86)</f>
        <v>51.31</v>
      </c>
      <c r="G86" s="3">
        <f>F86/4</f>
        <v>12.8275</v>
      </c>
    </row>
    <row r="87">
      <c r="A87" s="12" t="inlineStr">
        <is>
          <t xml:space="preserve">Retail – Dollar Tree / Dollar General</t>
        </is>
      </c>
      <c r="B87" s="3">
        <f>SUMIFS('All Transactions'!$F$5:$F$436,'All Transactions'!$D$5:$D$436,$A87,'All Transactions'!$A$5:$A$436,B$4)</f>
        <v>0</v>
      </c>
      <c r="C87" s="3">
        <f>SUMIFS('All Transactions'!$F$5:$F$436,'All Transactions'!$D$5:$D$436,$A87,'All Transactions'!$A$5:$A$436,C$4)</f>
        <v>5.87</v>
      </c>
      <c r="D87" s="3">
        <f>SUMIFS('All Transactions'!$F$5:$F$436,'All Transactions'!$D$5:$D$436,$A87,'All Transactions'!$A$5:$A$436,D$4)</f>
        <v>17.35</v>
      </c>
      <c r="E87" s="3">
        <f>SUMIFS('All Transactions'!$F$5:$F$436,'All Transactions'!$D$5:$D$436,$A87,'All Transactions'!$A$5:$A$436,E$4)</f>
        <v>0</v>
      </c>
      <c r="F87" s="3">
        <f>SUM(B87:E87)</f>
        <v>23.22</v>
      </c>
      <c r="G87" s="3">
        <f>F87/4</f>
        <v>5.805</v>
      </c>
    </row>
    <row r="88">
      <c r="A88" s="12" t="inlineStr">
        <is>
          <t xml:space="preserve">Retail – Local shops (Hippie Chick, Southport Spices, Mad River, Coastal Carolina)</t>
        </is>
      </c>
      <c r="B88" s="3">
        <f>SUMIFS('All Transactions'!$F$5:$F$436,'All Transactions'!$D$5:$D$436,$A88,'All Transactions'!$A$5:$A$436,B$4)</f>
        <v>108.03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119.97</v>
      </c>
      <c r="F88" s="3">
        <f>SUM(B88:E88)</f>
        <v>228.0</v>
      </c>
      <c r="G88" s="3">
        <f>F88/4</f>
        <v>57.0</v>
      </c>
    </row>
    <row r="89">
      <c r="A89" s="7" t="inlineStr">
        <is>
          <t xml:space="preserve">Total Retail</t>
        </is>
      </c>
      <c r="B89" s="6">
        <f>SUM(B74:B88)</f>
        <v>815.42</v>
      </c>
      <c r="C89" s="6">
        <f>SUM(C74:C88)</f>
        <v>1150.18</v>
      </c>
      <c r="D89" s="6">
        <f>SUM(D74:D88)</f>
        <v>2380.47</v>
      </c>
      <c r="E89" s="6">
        <f>SUM(E74:E88)</f>
        <v>333.11</v>
      </c>
      <c r="F89" s="6">
        <f>SUM(F74:F88)</f>
        <v>4679.18</v>
      </c>
      <c r="G89" s="6">
        <f>F89/4</f>
        <v>1169.795</v>
      </c>
    </row>
    <row r="91">
      <c r="A91" s="5" t="inlineStr">
        <is>
          <t xml:space="preserve">Home</t>
        </is>
      </c>
    </row>
    <row r="92">
      <c r="A92" s="12" t="inlineStr">
        <is>
          <t xml:space="preserve">Yard Company (NextGen)</t>
        </is>
      </c>
      <c r="B92" s="3">
        <f>SUMIFS('All Transactions'!$F$5:$F$436,'All Transactions'!$D$5:$D$436,$A92,'All Transactions'!$A$5:$A$436,B$4)</f>
        <v>60.0</v>
      </c>
      <c r="C92" s="3">
        <f>SUMIFS('All Transactions'!$F$5:$F$436,'All Transactions'!$D$5:$D$436,$A92,'All Transactions'!$A$5:$A$436,C$4)</f>
        <v>100.0</v>
      </c>
      <c r="D92" s="3">
        <f>SUMIFS('All Transactions'!$F$5:$F$436,'All Transactions'!$D$5:$D$436,$A92,'All Transactions'!$A$5:$A$436,D$4)</f>
        <v>220.0</v>
      </c>
      <c r="E92" s="3">
        <f>SUMIFS('All Transactions'!$F$5:$F$436,'All Transactions'!$D$5:$D$436,$A92,'All Transactions'!$A$5:$A$436,E$4)</f>
        <v>120.0</v>
      </c>
      <c r="F92" s="3">
        <f>SUM(B92:E92)</f>
        <v>500.0</v>
      </c>
      <c r="G92" s="3">
        <f>F92/4</f>
        <v>125.0</v>
      </c>
    </row>
    <row r="93">
      <c r="A93" s="12" t="inlineStr">
        <is>
          <t xml:space="preserve">Home Services (Cleaning, Pest, Lawn)</t>
        </is>
      </c>
      <c r="B93" s="3">
        <f>SUMIFS('All Transactions'!$F$5:$F$436,'All Transactions'!$D$5:$D$436,$A93,'All Transactions'!$A$5:$A$436,B$4)</f>
        <v>0</v>
      </c>
      <c r="C93" s="3">
        <f>SUMIFS('All Transactions'!$F$5:$F$436,'All Transactions'!$D$5:$D$436,$A93,'All Transactions'!$A$5:$A$436,C$4)</f>
        <v>242.05</v>
      </c>
      <c r="D93" s="3">
        <f>SUMIFS('All Transactions'!$F$5:$F$436,'All Transactions'!$D$5:$D$436,$A93,'All Transactions'!$A$5:$A$436,D$4)</f>
        <v>536.6</v>
      </c>
      <c r="E93" s="3">
        <f>SUMIFS('All Transactions'!$F$5:$F$436,'All Transactions'!$D$5:$D$436,$A93,'All Transactions'!$A$5:$A$436,E$4)</f>
        <v>0</v>
      </c>
      <c r="F93" s="3">
        <f>SUM(B93:E93)</f>
        <v>778.65</v>
      </c>
      <c r="G93" s="3">
        <f>F93/4</f>
        <v>194.6625</v>
      </c>
    </row>
    <row r="94">
      <c r="A94" s="7" t="inlineStr">
        <is>
          <t xml:space="preserve">Total Home</t>
        </is>
      </c>
      <c r="B94" s="6">
        <f>SUM(B92:B93)</f>
        <v>60.0</v>
      </c>
      <c r="C94" s="6">
        <f>SUM(C92:C93)</f>
        <v>342.05</v>
      </c>
      <c r="D94" s="6">
        <f>SUM(D92:D93)</f>
        <v>756.6</v>
      </c>
      <c r="E94" s="6">
        <f>SUM(E92:E93)</f>
        <v>120.0</v>
      </c>
      <c r="F94" s="6">
        <f>SUM(F92:F93)</f>
        <v>1278.65</v>
      </c>
      <c r="G94" s="6">
        <f>F94/4</f>
        <v>319.6625</v>
      </c>
    </row>
    <row r="96">
      <c r="A96" s="5" t="inlineStr">
        <is>
          <t xml:space="preserve">Travel</t>
        </is>
      </c>
    </row>
    <row r="97">
      <c r="A97" s="12" t="inlineStr">
        <is>
          <t xml:space="preserve">Travel (Lyft, Hotel)</t>
        </is>
      </c>
      <c r="B97" s="3">
        <f>SUMIFS('All Transactions'!$F$5:$F$436,'All Transactions'!$D$5:$D$436,$A97,'All Transactions'!$A$5:$A$436,B$4)</f>
        <v>102.65</v>
      </c>
      <c r="C97" s="3">
        <f>SUMIFS('All Transactions'!$F$5:$F$436,'All Transactions'!$D$5:$D$436,$A97,'All Transactions'!$A$5:$A$436,C$4)</f>
        <v>0</v>
      </c>
      <c r="D97" s="3">
        <f>SUMIFS('All Transactions'!$F$5:$F$436,'All Transactions'!$D$5:$D$436,$A97,'All Transactions'!$A$5:$A$436,D$4)</f>
        <v>0</v>
      </c>
      <c r="E97" s="3">
        <f>SUMIFS('All Transactions'!$F$5:$F$436,'All Transactions'!$D$5:$D$436,$A97,'All Transactions'!$A$5:$A$436,E$4)</f>
        <v>0</v>
      </c>
      <c r="F97" s="3">
        <f>SUM(B97:E97)</f>
        <v>102.65</v>
      </c>
      <c r="G97" s="3">
        <f>F97/4</f>
        <v>25.6625</v>
      </c>
    </row>
    <row r="98">
      <c r="A98" s="7" t="inlineStr">
        <is>
          <t xml:space="preserve">Total Travel</t>
        </is>
      </c>
      <c r="B98" s="6">
        <f>SUM(B97:B97)</f>
        <v>102.65</v>
      </c>
      <c r="C98" s="6">
        <f>SUM(C97:C97)</f>
        <v>0</v>
      </c>
      <c r="D98" s="6">
        <f>SUM(D97:D97)</f>
        <v>0</v>
      </c>
      <c r="E98" s="6">
        <f>SUM(E97:E97)</f>
        <v>0</v>
      </c>
      <c r="F98" s="6">
        <f>SUM(F97:F97)</f>
        <v>102.65</v>
      </c>
      <c r="G98" s="6">
        <f>F98/4</f>
        <v>25.6625</v>
      </c>
    </row>
    <row r="100">
      <c r="A100" s="5" t="inlineStr">
        <is>
          <t xml:space="preserve">Recreation</t>
        </is>
      </c>
    </row>
    <row r="101">
      <c r="A101" s="12" t="inlineStr">
        <is>
          <t xml:space="preserve">St. James Marina</t>
        </is>
      </c>
      <c r="B101" s="3">
        <f>SUMIFS('All Transactions'!$F$5:$F$436,'All Transactions'!$D$5:$D$436,$A101,'All Transactions'!$A$5:$A$436,B$4)</f>
        <v>0</v>
      </c>
      <c r="C101" s="3">
        <f>SUMIFS('All Transactions'!$F$5:$F$436,'All Transactions'!$D$5:$D$436,$A101,'All Transactions'!$A$5:$A$436,C$4)</f>
        <v>33.54</v>
      </c>
      <c r="D101" s="3">
        <f>SUMIFS('All Transactions'!$F$5:$F$436,'All Transactions'!$D$5:$D$436,$A101,'All Transactions'!$A$5:$A$436,D$4)</f>
        <v>0</v>
      </c>
      <c r="E101" s="3">
        <f>SUMIFS('All Transactions'!$F$5:$F$436,'All Transactions'!$D$5:$D$436,$A101,'All Transactions'!$A$5:$A$436,E$4)</f>
        <v>0</v>
      </c>
      <c r="F101" s="3">
        <f>SUM(B101:E101)</f>
        <v>33.54</v>
      </c>
      <c r="G101" s="3">
        <f>F101/4</f>
        <v>8.385</v>
      </c>
    </row>
    <row r="102">
      <c r="A102" s="12" t="inlineStr">
        <is>
          <t xml:space="preserve">Entertainment &amp; Events</t>
        </is>
      </c>
      <c r="B102" s="3">
        <f>SUMIFS('All Transactions'!$F$5:$F$436,'All Transactions'!$D$5:$D$436,$A102,'All Transactions'!$A$5:$A$436,B$4)</f>
        <v>0</v>
      </c>
      <c r="C102" s="3">
        <f>SUMIFS('All Transactions'!$F$5:$F$436,'All Transactions'!$D$5:$D$436,$A102,'All Transactions'!$A$5:$A$436,C$4)</f>
        <v>400.0</v>
      </c>
      <c r="D102" s="3">
        <f>SUMIFS('All Transactions'!$F$5:$F$436,'All Transactions'!$D$5:$D$436,$A102,'All Transactions'!$A$5:$A$436,D$4)</f>
        <v>13.5</v>
      </c>
      <c r="E102" s="3">
        <f>SUMIFS('All Transactions'!$F$5:$F$436,'All Transactions'!$D$5:$D$436,$A102,'All Transactions'!$A$5:$A$436,E$4)</f>
        <v>0</v>
      </c>
      <c r="F102" s="3">
        <f>SUM(B102:E102)</f>
        <v>413.5</v>
      </c>
      <c r="G102" s="3">
        <f>F102/4</f>
        <v>103.375</v>
      </c>
    </row>
    <row r="103">
      <c r="A103" s="7" t="inlineStr">
        <is>
          <t xml:space="preserve">Total Recreation</t>
        </is>
      </c>
      <c r="B103" s="6">
        <f>SUM(B101:B102)</f>
        <v>0</v>
      </c>
      <c r="C103" s="6">
        <f>SUM(C101:C102)</f>
        <v>433.54</v>
      </c>
      <c r="D103" s="6">
        <f>SUM(D101:D102)</f>
        <v>13.5</v>
      </c>
      <c r="E103" s="6">
        <f>SUM(E101:E102)</f>
        <v>0</v>
      </c>
      <c r="F103" s="6">
        <f>SUM(F101:F102)</f>
        <v>447.04</v>
      </c>
      <c r="G103" s="6">
        <f>F103/4</f>
        <v>111.76</v>
      </c>
    </row>
    <row r="105">
      <c r="A105" s="5" t="inlineStr">
        <is>
          <t xml:space="preserve">Transfers</t>
        </is>
      </c>
    </row>
    <row r="106">
      <c r="A106" s="12" t="inlineStr">
        <is>
          <t xml:space="preserve">Transfers to People (Venmo/Zelle)</t>
        </is>
      </c>
      <c r="B106" s="3">
        <f>SUMIFS('All Transactions'!$F$5:$F$436,'All Transactions'!$D$5:$D$436,$A106,'All Transactions'!$A$5:$A$436,B$4)</f>
        <v>75.0</v>
      </c>
      <c r="C106" s="3">
        <f>SUMIFS('All Transactions'!$F$5:$F$436,'All Transactions'!$D$5:$D$436,$A106,'All Transactions'!$A$5:$A$436,C$4)</f>
        <v>764.05</v>
      </c>
      <c r="D106" s="3">
        <f>SUMIFS('All Transactions'!$F$5:$F$436,'All Transactions'!$D$5:$D$436,$A106,'All Transactions'!$A$5:$A$436,D$4)</f>
        <v>331.5</v>
      </c>
      <c r="E106" s="3">
        <f>SUMIFS('All Transactions'!$F$5:$F$436,'All Transactions'!$D$5:$D$436,$A106,'All Transactions'!$A$5:$A$436,E$4)</f>
        <v>130.0</v>
      </c>
      <c r="F106" s="3">
        <f>SUM(B106:E106)</f>
        <v>1300.55</v>
      </c>
      <c r="G106" s="3">
        <f>F106/4</f>
        <v>325.1375</v>
      </c>
    </row>
    <row r="107">
      <c r="A107" s="7" t="inlineStr">
        <is>
          <t xml:space="preserve">Total Transfers</t>
        </is>
      </c>
      <c r="B107" s="6">
        <f>SUM(B106:B106)</f>
        <v>75.0</v>
      </c>
      <c r="C107" s="6">
        <f>SUM(C106:C106)</f>
        <v>764.05</v>
      </c>
      <c r="D107" s="6">
        <f>SUM(D106:D106)</f>
        <v>331.5</v>
      </c>
      <c r="E107" s="6">
        <f>SUM(E106:E106)</f>
        <v>130.0</v>
      </c>
      <c r="F107" s="6">
        <f>SUM(F106:F106)</f>
        <v>1300.55</v>
      </c>
      <c r="G107" s="6">
        <f>F107/4</f>
        <v>325.1375</v>
      </c>
    </row>
    <row r="109">
      <c r="A109" s="5" t="inlineStr">
        <is>
          <t xml:space="preserve">Other</t>
        </is>
      </c>
    </row>
    <row r="110">
      <c r="A110" s="12" t="inlineStr">
        <is>
          <t xml:space="preserve">Donations &amp; Clubs (Kiwanis)</t>
        </is>
      </c>
      <c r="B110" s="3">
        <f>SUMIFS('All Transactions'!$F$5:$F$436,'All Transactions'!$D$5:$D$436,$A110,'All Transactions'!$A$5:$A$436,B$4)</f>
        <v>0</v>
      </c>
      <c r="C110" s="3">
        <f>SUMIFS('All Transactions'!$F$5:$F$436,'All Transactions'!$D$5:$D$436,$A110,'All Transactions'!$A$5:$A$436,C$4)</f>
        <v>0</v>
      </c>
      <c r="D110" s="3">
        <f>SUMIFS('All Transactions'!$F$5:$F$436,'All Transactions'!$D$5:$D$436,$A110,'All Transactions'!$A$5:$A$436,D$4)</f>
        <v>0</v>
      </c>
      <c r="E110" s="3">
        <f>SUMIFS('All Transactions'!$F$5:$F$436,'All Transactions'!$D$5:$D$436,$A110,'All Transactions'!$A$5:$A$436,E$4)</f>
        <v>200.0</v>
      </c>
      <c r="F110" s="3">
        <f>SUM(B110:E110)</f>
        <v>200.0</v>
      </c>
      <c r="G110" s="3">
        <f>F110/4</f>
        <v>50.0</v>
      </c>
    </row>
    <row r="111">
      <c r="A111" s="12" t="inlineStr">
        <is>
          <t xml:space="preserve">Cash (ATM) &amp; Bank Fees</t>
        </is>
      </c>
      <c r="B111" s="3">
        <f>SUMIFS('All Transactions'!$F$5:$F$436,'All Transactions'!$D$5:$D$436,$A111,'All Transactions'!$A$5:$A$436,B$4)</f>
        <v>0</v>
      </c>
      <c r="C111" s="3">
        <f>SUMIFS('All Transactions'!$F$5:$F$436,'All Transactions'!$D$5:$D$436,$A111,'All Transactions'!$A$5:$A$436,C$4)</f>
        <v>0</v>
      </c>
      <c r="D111" s="3">
        <f>SUMIFS('All Transactions'!$F$5:$F$436,'All Transactions'!$D$5:$D$436,$A111,'All Transactions'!$A$5:$A$436,D$4)</f>
        <v>0</v>
      </c>
      <c r="E111" s="3">
        <f>SUMIFS('All Transactions'!$F$5:$F$436,'All Transactions'!$D$5:$D$436,$A111,'All Transactions'!$A$5:$A$436,E$4)</f>
        <v>147.0</v>
      </c>
      <c r="F111" s="3">
        <f>SUM(B111:E111)</f>
        <v>147.0</v>
      </c>
      <c r="G111" s="3">
        <f>F111/4</f>
        <v>36.75</v>
      </c>
    </row>
    <row r="112">
      <c r="A112" s="7" t="inlineStr">
        <is>
          <t xml:space="preserve">Total Other</t>
        </is>
      </c>
      <c r="B112" s="6">
        <f>SUM(B110:B111)</f>
        <v>0</v>
      </c>
      <c r="C112" s="6">
        <f>SUM(C110:C111)</f>
        <v>0</v>
      </c>
      <c r="D112" s="6">
        <f>SUM(D110:D111)</f>
        <v>0</v>
      </c>
      <c r="E112" s="6">
        <f>SUM(E110:E111)</f>
        <v>347.0</v>
      </c>
      <c r="F112" s="6">
        <f>SUM(F110:F111)</f>
        <v>347.0</v>
      </c>
      <c r="G112" s="6">
        <f>F112/4</f>
        <v>86.75</v>
      </c>
    </row>
    <row r="114">
      <c r="A114" s="8" t="inlineStr">
        <is>
          <t xml:space="preserve">TOTAL SPENDING</t>
        </is>
      </c>
      <c r="B114" s="9">
        <f>B10+B18+B23+B28+B32+B38+B43+B48+B59+B63+B67+B71+B89+B94+B98+B103+B107+B112</f>
        <v>12135.81</v>
      </c>
      <c r="C114" s="9">
        <f>C10+C18+C23+C28+C32+C38+C43+C48+C59+C63+C67+C71+C89+C94+C98+C103+C107+C112</f>
        <v>12663.24</v>
      </c>
      <c r="D114" s="9">
        <f>D10+D18+D23+D28+D32+D38+D43+D48+D59+D63+D67+D71+D89+D94+D98+D103+D107+D112</f>
        <v>15086.64</v>
      </c>
      <c r="E114" s="9">
        <f>E10+E18+E23+E28+E32+E38+E43+E48+E59+E63+E67+E71+E89+E94+E98+E103+E107+E112</f>
        <v>11515.63</v>
      </c>
      <c r="F114" s="9">
        <f>F10+F18+F23+F28+F32+F38+F43+F48+F59+F63+F67+F71+F89+F94+F98+F103+F107+F112</f>
        <v>51401.32</v>
      </c>
      <c r="G114" s="9">
        <f>F114/4</f>
        <v>12850.33</v>
      </c>
    </row>
    <row r="116">
      <c r="A116" s="5" t="inlineStr">
        <is>
          <t xml:space="preserve">Not counted as spending</t>
        </is>
      </c>
    </row>
    <row r="117">
      <c r="A117" s="12" t="inlineStr">
        <is>
          <t xml:space="preserve">WTW Health Premium (reimbursed by Via Benefits)</t>
        </is>
      </c>
      <c r="B117" s="3">
        <f>SUMIFS('All Transactions'!$F$5:$F$436,'All Transactions'!$D$5:$D$436,$A117,'All Transactions'!$A$5:$A$436,B$4)</f>
        <v>2576.0</v>
      </c>
      <c r="C117" s="3">
        <f>SUMIFS('All Transactions'!$F$5:$F$436,'All Transactions'!$D$5:$D$436,$A117,'All Transactions'!$A$5:$A$436,C$4)</f>
        <v>2576.0</v>
      </c>
      <c r="D117" s="3">
        <f>SUMIFS('All Transactions'!$F$5:$F$436,'All Transactions'!$D$5:$D$436,$A117,'All Transactions'!$A$5:$A$436,D$4)</f>
        <v>2576.0</v>
      </c>
      <c r="E117" s="3">
        <f>SUMIFS('All Transactions'!$F$5:$F$436,'All Transactions'!$D$5:$D$436,$A117,'All Transactions'!$A$5:$A$436,E$4)</f>
        <v>2576.0</v>
      </c>
      <c r="F117" s="3">
        <f>SUM(B117:E117)</f>
        <v>10304.0</v>
      </c>
      <c r="G117" s="3">
        <f>F117/4</f>
        <v>2576.0</v>
      </c>
    </row>
    <row r="118">
      <c r="A118" s="12" t="inlineStr">
        <is>
          <t xml:space="preserve">Credit Card Payoff – American Express</t>
        </is>
      </c>
      <c r="B118" s="3">
        <f>SUMIFS('All Transactions'!$F$5:$F$436,'All Transactions'!$D$5:$D$436,$A118,'All Transactions'!$A$5:$A$436,B$4)</f>
        <v>0</v>
      </c>
      <c r="C118" s="3">
        <f>SUMIFS('All Transactions'!$F$5:$F$436,'All Transactions'!$D$5:$D$436,$A118,'All Transactions'!$A$5:$A$436,C$4)</f>
        <v>7227.09</v>
      </c>
      <c r="D118" s="3">
        <f>SUMIFS('All Transactions'!$F$5:$F$436,'All Transactions'!$D$5:$D$436,$A118,'All Transactions'!$A$5:$A$436,D$4)</f>
        <v>4593.08</v>
      </c>
      <c r="E118" s="3">
        <f>SUMIFS('All Transactions'!$F$5:$F$436,'All Transactions'!$D$5:$D$436,$A118,'All Transactions'!$A$5:$A$436,E$4)</f>
        <v>4738.51</v>
      </c>
      <c r="F118" s="3">
        <f>SUM(B118:E118)</f>
        <v>16558.68</v>
      </c>
      <c r="G118" s="3">
        <f>F118/4</f>
        <v>4139.67</v>
      </c>
    </row>
    <row r="119">
      <c r="A119" s="12" t="inlineStr">
        <is>
          <t xml:space="preserve">Sloane Realty</t>
        </is>
      </c>
      <c r="B119" s="3">
        <f>SUMIFS('All Transactions'!$F$5:$F$436,'All Transactions'!$D$5:$D$436,$A119,'All Transactions'!$A$5:$A$436,B$4)</f>
        <v>0</v>
      </c>
      <c r="C119" s="3">
        <f>SUMIFS('All Transactions'!$F$5:$F$436,'All Transactions'!$D$5:$D$436,$A119,'All Transactions'!$A$5:$A$436,C$4)</f>
        <v>2891.98</v>
      </c>
      <c r="D119" s="3">
        <f>SUMIFS('All Transactions'!$F$5:$F$436,'All Transactions'!$D$5:$D$436,$A119,'All Transactions'!$A$5:$A$436,D$4)</f>
        <v>0</v>
      </c>
      <c r="E119" s="3">
        <f>SUMIFS('All Transactions'!$F$5:$F$436,'All Transactions'!$D$5:$D$436,$A119,'All Transactions'!$A$5:$A$436,E$4)</f>
        <v>0</v>
      </c>
      <c r="F119" s="3">
        <f>SUM(B119:E119)</f>
        <v>2891.98</v>
      </c>
      <c r="G119" s="3">
        <f>F119/4</f>
        <v>722.995</v>
      </c>
    </row>
    <row r="120">
      <c r="A120" s="12" t="inlineStr">
        <is>
          <t xml:space="preserve">Checks Written (payee not shown)</t>
        </is>
      </c>
      <c r="B120" s="3">
        <f>SUMIFS('All Transactions'!$F$5:$F$436,'All Transactions'!$D$5:$D$436,$A120,'All Transactions'!$A$5:$A$436,B$4)</f>
        <v>2630.0</v>
      </c>
      <c r="C120" s="3">
        <f>SUMIFS('All Transactions'!$F$5:$F$436,'All Transactions'!$D$5:$D$436,$A120,'All Transactions'!$A$5:$A$436,C$4)</f>
        <v>0</v>
      </c>
      <c r="D120" s="3">
        <f>SUMIFS('All Transactions'!$F$5:$F$436,'All Transactions'!$D$5:$D$436,$A120,'All Transactions'!$A$5:$A$436,D$4)</f>
        <v>728.0</v>
      </c>
      <c r="E120" s="3">
        <f>SUMIFS('All Transactions'!$F$5:$F$436,'All Transactions'!$D$5:$D$436,$A120,'All Transactions'!$A$5:$A$436,E$4)</f>
        <v>0</v>
      </c>
      <c r="F120" s="3">
        <f>SUM(B120:E120)</f>
        <v>3358.0</v>
      </c>
      <c r="G120" s="3">
        <f>F120/4</f>
        <v>839.5</v>
      </c>
    </row>
    <row r="121">
      <c r="A121" s="12" t="inlineStr">
        <is>
          <t xml:space="preserve">Transfer to Own WF Account</t>
        </is>
      </c>
      <c r="B121" s="3">
        <f>SUMIFS('All Transactions'!$F$5:$F$436,'All Transactions'!$D$5:$D$436,$A121,'All Transactions'!$A$5:$A$436,B$4)</f>
        <v>0</v>
      </c>
      <c r="C121" s="3">
        <f>SUMIFS('All Transactions'!$F$5:$F$436,'All Transactions'!$D$5:$D$436,$A121,'All Transactions'!$A$5:$A$436,C$4)</f>
        <v>3.26</v>
      </c>
      <c r="D121" s="3">
        <f>SUMIFS('All Transactions'!$F$5:$F$436,'All Transactions'!$D$5:$D$436,$A121,'All Transactions'!$A$5:$A$436,D$4)</f>
        <v>0</v>
      </c>
      <c r="E121" s="3">
        <f>SUMIFS('All Transactions'!$F$5:$F$436,'All Transactions'!$D$5:$D$436,$A121,'All Transactions'!$A$5:$A$436,E$4)</f>
        <v>0</v>
      </c>
      <c r="F121" s="3">
        <f>SUM(B121:E121)</f>
        <v>3.26</v>
      </c>
      <c r="G121" s="3">
        <f>F121/4</f>
        <v>0.815</v>
      </c>
    </row>
    <row r="122">
      <c r="A122" s="7" t="inlineStr">
        <is>
          <t xml:space="preserve">Total not counted as spending</t>
        </is>
      </c>
      <c r="B122" s="6">
        <f>SUM(B117:B121)</f>
        <v>5206.0</v>
      </c>
      <c r="C122" s="6">
        <f>SUM(C117:C121)</f>
        <v>12698.33</v>
      </c>
      <c r="D122" s="6">
        <f>SUM(D117:D121)</f>
        <v>7897.08</v>
      </c>
      <c r="E122" s="6">
        <f>SUM(E117:E121)</f>
        <v>7314.51</v>
      </c>
      <c r="F122" s="6">
        <f>SUM(F117:F121)</f>
        <v>33115.92</v>
      </c>
      <c r="G122" s="6">
        <f>F122/4</f>
        <v>8278.98</v>
      </c>
    </row>
    <row r="124">
      <c r="A124" s="12" t="inlineStr">
        <is>
          <t xml:space="preserve">Check: spending + not-counted items</t>
        </is>
      </c>
      <c r="B124" s="3">
        <f>B114+B122</f>
        <v>17341.81</v>
      </c>
      <c r="C124" s="3">
        <f>C114+C122</f>
        <v>25361.57</v>
      </c>
      <c r="D124" s="3">
        <f>D114+D122</f>
        <v>22983.72</v>
      </c>
      <c r="E124" s="3">
        <f>E114+E122</f>
        <v>18830.14</v>
      </c>
      <c r="F124" s="3">
        <f>F114+F122</f>
        <v>84517.24</v>
      </c>
    </row>
    <row r="125">
      <c r="A125" s="12" t="inlineStr">
        <is>
          <t xml:space="preserve">Withdrawals/Subtractions per bank statement</t>
        </is>
      </c>
      <c r="B125" s="13">
        <v>17341.81</v>
      </c>
      <c r="C125" s="13">
        <v>25361.57</v>
      </c>
      <c r="D125" s="13">
        <v>22983.72</v>
      </c>
      <c r="E125" s="13">
        <v>18830.14</v>
      </c>
      <c r="F125" s="3">
        <f>SUM(B125:E125)</f>
        <v>84517.24</v>
      </c>
    </row>
    <row r="126">
      <c r="A126" s="12" t="inlineStr">
        <is>
          <t xml:space="preserve">Difference (should be $0 = every dollar accounted for)</t>
        </is>
      </c>
      <c r="B126" s="3">
        <f>B124-B125</f>
        <v>0.0</v>
      </c>
      <c r="C126" s="3">
        <f>C124-C125</f>
        <v>0.0</v>
      </c>
      <c r="D126" s="3">
        <f>D124-D125</f>
        <v>0.0</v>
      </c>
      <c r="E126" s="3">
        <f>E124-E125</f>
        <v>0.0</v>
      </c>
      <c r="F126" s="3">
        <f>F124-F125</f>
        <v>0.0</v>
      </c>
    </row>
    <row r="128">
      <c r="A128" s="5" t="inlineStr">
        <is>
          <t xml:space="preserve">Key Bills at a Glance</t>
        </is>
      </c>
    </row>
    <row r="129">
      <c r="A129" s="15" t="inlineStr">
        <is>
          <t xml:space="preserve">Bill</t>
        </is>
      </c>
      <c r="B129" s="1" t="inlineStr">
        <is>
          <t xml:space="preserve">June 2026</t>
        </is>
      </c>
      <c r="C129" s="1" t="inlineStr">
        <is>
          <t xml:space="preserve">July 2026</t>
        </is>
      </c>
      <c r="D129" s="1" t="inlineStr">
        <is>
          <t xml:space="preserve">August 2026</t>
        </is>
      </c>
      <c r="E129" s="1" t="inlineStr">
        <is>
          <t xml:space="preserve">September 2026</t>
        </is>
      </c>
      <c r="F129" s="1" t="inlineStr">
        <is>
          <t xml:space="preserve">4-Month Total</t>
        </is>
      </c>
      <c r="G129" s="1" t="inlineStr">
        <is>
          <t xml:space="preserve">Monthly Avg</t>
        </is>
      </c>
    </row>
    <row r="130">
      <c r="A130" s="12" t="inlineStr">
        <is>
          <t xml:space="preserve">A&amp;D Mortgage</t>
        </is>
      </c>
      <c r="B130" s="3">
        <f>SUMIFS('All Transactions'!$F$5:$F$436,'All Transactions'!$D$5:$D$436,$A130,'All Transactions'!$A$5:$A$436,B$4)</f>
        <v>3411.1</v>
      </c>
      <c r="C130" s="3">
        <f>SUMIFS('All Transactions'!$F$5:$F$436,'All Transactions'!$D$5:$D$436,$A130,'All Transactions'!$A$5:$A$436,C$4)</f>
        <v>3411.1</v>
      </c>
      <c r="D130" s="3">
        <f>SUMIFS('All Transactions'!$F$5:$F$436,'All Transactions'!$D$5:$D$436,$A130,'All Transactions'!$A$5:$A$436,D$4)</f>
        <v>3411.1</v>
      </c>
      <c r="E130" s="3">
        <f>SUMIFS('All Transactions'!$F$5:$F$436,'All Transactions'!$D$5:$D$436,$A130,'All Transactions'!$A$5:$A$436,E$4)</f>
        <v>3411.1</v>
      </c>
      <c r="F130" s="3">
        <f>SUM(B130:E130)</f>
        <v>13644.4</v>
      </c>
      <c r="G130" s="3">
        <f>F130/4</f>
        <v>3411.1</v>
      </c>
    </row>
    <row r="131">
      <c r="A131" s="12" t="inlineStr">
        <is>
          <t xml:space="preserve">St. James Membership (Club)</t>
        </is>
      </c>
      <c r="B131" s="3">
        <f>SUMIFS('All Transactions'!$F$5:$F$436,'All Transactions'!$D$5:$D$436,$A131,'All Transactions'!$A$5:$A$436,B$4)</f>
        <v>1591.78</v>
      </c>
      <c r="C131" s="3">
        <f>SUMIFS('All Transactions'!$F$5:$F$436,'All Transactions'!$D$5:$D$436,$A131,'All Transactions'!$A$5:$A$436,C$4)</f>
        <v>1601.56</v>
      </c>
      <c r="D131" s="3">
        <f>SUMIFS('All Transactions'!$F$5:$F$436,'All Transactions'!$D$5:$D$436,$A131,'All Transactions'!$A$5:$A$436,D$4)</f>
        <v>1492.11</v>
      </c>
      <c r="E131" s="3">
        <f>SUMIFS('All Transactions'!$F$5:$F$436,'All Transactions'!$D$5:$D$436,$A131,'All Transactions'!$A$5:$A$436,E$4)</f>
        <v>1767.0</v>
      </c>
      <c r="F131" s="3">
        <f>SUM(B131:E131)</f>
        <v>6452.45</v>
      </c>
      <c r="G131" s="3">
        <f>F131/4</f>
        <v>1613.1125</v>
      </c>
    </row>
    <row r="132">
      <c r="A132" s="12" t="inlineStr">
        <is>
          <t xml:space="preserve">St. James Plantation POA Dues</t>
        </is>
      </c>
      <c r="B132" s="3">
        <f>SUMIFS('All Transactions'!$F$5:$F$436,'All Transactions'!$D$5:$D$436,$A132,'All Transactions'!$A$5:$A$436,B$4)</f>
        <v>692.95</v>
      </c>
      <c r="C132" s="3">
        <f>SUMIFS('All Transactions'!$F$5:$F$436,'All Transactions'!$D$5:$D$436,$A132,'All Transactions'!$A$5:$A$436,C$4)</f>
        <v>0</v>
      </c>
      <c r="D132" s="3">
        <f>SUMIFS('All Transactions'!$F$5:$F$436,'All Transactions'!$D$5:$D$436,$A132,'All Transactions'!$A$5:$A$436,D$4)</f>
        <v>0</v>
      </c>
      <c r="E132" s="3">
        <f>SUMIFS('All Transactions'!$F$5:$F$436,'All Transactions'!$D$5:$D$436,$A132,'All Transactions'!$A$5:$A$436,E$4)</f>
        <v>0</v>
      </c>
      <c r="F132" s="3">
        <f>SUM(B132:E132)</f>
        <v>692.95</v>
      </c>
      <c r="G132" s="3">
        <f>F132/4</f>
        <v>173.2375</v>
      </c>
    </row>
    <row r="133">
      <c r="A133" s="12" t="inlineStr">
        <is>
          <t xml:space="preserve">Allstate Insurance</t>
        </is>
      </c>
      <c r="B133" s="3">
        <f>SUMIFS('All Transactions'!$F$5:$F$436,'All Transactions'!$D$5:$D$436,$A133,'All Transactions'!$A$5:$A$436,B$4)</f>
        <v>360.42</v>
      </c>
      <c r="C133" s="3">
        <f>SUMIFS('All Transactions'!$F$5:$F$436,'All Transactions'!$D$5:$D$436,$A133,'All Transactions'!$A$5:$A$436,C$4)</f>
        <v>360.42</v>
      </c>
      <c r="D133" s="3">
        <f>SUMIFS('All Transactions'!$F$5:$F$436,'All Transactions'!$D$5:$D$436,$A133,'All Transactions'!$A$5:$A$436,D$4)</f>
        <v>475.42</v>
      </c>
      <c r="E133" s="3">
        <f>SUMIFS('All Transactions'!$F$5:$F$436,'All Transactions'!$D$5:$D$436,$A133,'All Transactions'!$A$5:$A$436,E$4)</f>
        <v>354.17</v>
      </c>
      <c r="F133" s="3">
        <f>SUM(B133:E133)</f>
        <v>1550.43</v>
      </c>
      <c r="G133" s="3">
        <f>F133/4</f>
        <v>387.6075</v>
      </c>
    </row>
    <row r="134">
      <c r="A134" s="12" t="inlineStr">
        <is>
          <t xml:space="preserve">Life Insurance (Lincoln National)</t>
        </is>
      </c>
      <c r="B134" s="3">
        <f>SUMIFS('All Transactions'!$F$5:$F$436,'All Transactions'!$D$5:$D$436,$A134,'All Transactions'!$A$5:$A$436,B$4)</f>
        <v>79.21</v>
      </c>
      <c r="C134" s="3">
        <f>SUMIFS('All Transactions'!$F$5:$F$436,'All Transactions'!$D$5:$D$436,$A134,'All Transactions'!$A$5:$A$436,C$4)</f>
        <v>73.61</v>
      </c>
      <c r="D134" s="3">
        <f>SUMIFS('All Transactions'!$F$5:$F$436,'All Transactions'!$D$5:$D$436,$A134,'All Transactions'!$A$5:$A$436,D$4)</f>
        <v>73.61</v>
      </c>
      <c r="E134" s="3">
        <f>SUMIFS('All Transactions'!$F$5:$F$436,'All Transactions'!$D$5:$D$436,$A134,'All Transactions'!$A$5:$A$436,E$4)</f>
        <v>73.61</v>
      </c>
      <c r="F134" s="3">
        <f>SUM(B134:E134)</f>
        <v>300.04</v>
      </c>
      <c r="G134" s="3">
        <f>F134/4</f>
        <v>75.01</v>
      </c>
    </row>
    <row r="135">
      <c r="A135" s="12" t="inlineStr">
        <is>
          <t xml:space="preserve">Banner Life Insurance</t>
        </is>
      </c>
      <c r="B135" s="3">
        <f>SUMIFS('All Transactions'!$F$5:$F$436,'All Transactions'!$D$5:$D$436,$A135,'All Transactions'!$A$5:$A$436,B$4)</f>
        <v>710.06</v>
      </c>
      <c r="C135" s="3">
        <f>SUMIFS('All Transactions'!$F$5:$F$436,'All Transactions'!$D$5:$D$436,$A135,'All Transactions'!$A$5:$A$436,C$4)</f>
        <v>710.06</v>
      </c>
      <c r="D135" s="3">
        <f>SUMIFS('All Transactions'!$F$5:$F$436,'All Transactions'!$D$5:$D$436,$A135,'All Transactions'!$A$5:$A$436,D$4)</f>
        <v>710.06</v>
      </c>
      <c r="E135" s="3">
        <f>SUMIFS('All Transactions'!$F$5:$F$436,'All Transactions'!$D$5:$D$436,$A135,'All Transactions'!$A$5:$A$436,E$4)</f>
        <v>710.06</v>
      </c>
      <c r="F135" s="3">
        <f>SUM(B135:E135)</f>
        <v>2840.24</v>
      </c>
      <c r="G135" s="3">
        <f>F135/4</f>
        <v>710.06</v>
      </c>
    </row>
    <row r="136">
      <c r="A136" s="12" t="inlineStr">
        <is>
          <t xml:space="preserve">Verizon Wireless</t>
        </is>
      </c>
      <c r="B136" s="3">
        <f>SUMIFS('All Transactions'!$F$5:$F$436,'All Transactions'!$D$5:$D$436,$A136,'All Transactions'!$A$5:$A$436,B$4)</f>
        <v>294.57</v>
      </c>
      <c r="C136" s="3">
        <f>SUMIFS('All Transactions'!$F$5:$F$436,'All Transactions'!$D$5:$D$436,$A136,'All Transactions'!$A$5:$A$436,C$4)</f>
        <v>294.8</v>
      </c>
      <c r="D136" s="3">
        <f>SUMIFS('All Transactions'!$F$5:$F$436,'All Transactions'!$D$5:$D$436,$A136,'All Transactions'!$A$5:$A$436,D$4)</f>
        <v>436.02</v>
      </c>
      <c r="E136" s="3">
        <f>SUMIFS('All Transactions'!$F$5:$F$436,'All Transactions'!$D$5:$D$436,$A136,'All Transactions'!$A$5:$A$436,E$4)</f>
        <v>386.85</v>
      </c>
      <c r="F136" s="3">
        <f>SUM(B136:E136)</f>
        <v>1412.24</v>
      </c>
      <c r="G136" s="3">
        <f>F136/4</f>
        <v>353.06</v>
      </c>
    </row>
    <row r="137">
      <c r="A137" s="12" t="inlineStr">
        <is>
          <t xml:space="preserve">Utility – Electric (BEMC)</t>
        </is>
      </c>
      <c r="B137" s="3">
        <f>SUMIFS('All Transactions'!$F$5:$F$436,'All Transactions'!$D$5:$D$436,$A137,'All Transactions'!$A$5:$A$436,B$4)</f>
        <v>0</v>
      </c>
      <c r="C137" s="3">
        <f>SUMIFS('All Transactions'!$F$5:$F$436,'All Transactions'!$D$5:$D$436,$A137,'All Transactions'!$A$5:$A$436,C$4)</f>
        <v>336.35</v>
      </c>
      <c r="D137" s="3">
        <f>SUMIFS('All Transactions'!$F$5:$F$436,'All Transactions'!$D$5:$D$436,$A137,'All Transactions'!$A$5:$A$436,D$4)</f>
        <v>406.96</v>
      </c>
      <c r="E137" s="3">
        <f>SUMIFS('All Transactions'!$F$5:$F$436,'All Transactions'!$D$5:$D$436,$A137,'All Transactions'!$A$5:$A$436,E$4)</f>
        <v>419.66</v>
      </c>
      <c r="F137" s="3">
        <f>SUM(B137:E137)</f>
        <v>1162.97</v>
      </c>
      <c r="G137" s="3">
        <f>F137/4</f>
        <v>290.7425</v>
      </c>
    </row>
    <row r="138">
      <c r="A138" s="12" t="inlineStr">
        <is>
          <t xml:space="preserve">Utility – Water/Sewer (Brunswick County)</t>
        </is>
      </c>
      <c r="B138" s="3">
        <f>SUMIFS('All Transactions'!$F$5:$F$436,'All Transactions'!$D$5:$D$436,$A138,'All Transactions'!$A$5:$A$436,B$4)</f>
        <v>78.84</v>
      </c>
      <c r="C138" s="3">
        <f>SUMIFS('All Transactions'!$F$5:$F$436,'All Transactions'!$D$5:$D$436,$A138,'All Transactions'!$A$5:$A$436,C$4)</f>
        <v>0</v>
      </c>
      <c r="D138" s="3">
        <f>SUMIFS('All Transactions'!$F$5:$F$436,'All Transactions'!$D$5:$D$436,$A138,'All Transactions'!$A$5:$A$436,D$4)</f>
        <v>179.33</v>
      </c>
      <c r="E138" s="3">
        <f>SUMIFS('All Transactions'!$F$5:$F$436,'All Transactions'!$D$5:$D$436,$A138,'All Transactions'!$A$5:$A$436,E$4)</f>
        <v>84.26</v>
      </c>
      <c r="F138" s="3">
        <f>SUM(B138:E138)</f>
        <v>342.43</v>
      </c>
      <c r="G138" s="3">
        <f>F138/4</f>
        <v>85.6075</v>
      </c>
    </row>
    <row r="139">
      <c r="A139" s="12" t="inlineStr">
        <is>
          <t xml:space="preserve">Utilities total (BEMC + Brunswick County)</t>
        </is>
      </c>
      <c r="B139" s="3">
        <f>SUMIFS('All Transactions'!$F$5:$F$436,'All Transactions'!$E$5:$E$436,"Utilities",'All Transactions'!$A$5:$A$436,B$4)</f>
        <v>78.84</v>
      </c>
      <c r="C139" s="3">
        <f>SUMIFS('All Transactions'!$F$5:$F$436,'All Transactions'!$E$5:$E$436,"Utilities",'All Transactions'!$A$5:$A$436,C$4)</f>
        <v>336.35</v>
      </c>
      <c r="D139" s="3">
        <f>SUMIFS('All Transactions'!$F$5:$F$436,'All Transactions'!$E$5:$E$436,"Utilities",'All Transactions'!$A$5:$A$436,D$4)</f>
        <v>586.29</v>
      </c>
      <c r="E139" s="3">
        <f>SUMIFS('All Transactions'!$F$5:$F$436,'All Transactions'!$E$5:$E$436,"Utilities",'All Transactions'!$A$5:$A$436,E$4)</f>
        <v>503.92</v>
      </c>
      <c r="F139" s="3">
        <f>SUM(B139:E139)</f>
        <v>1505.4</v>
      </c>
      <c r="G139" s="3">
        <f>F139/4</f>
        <v>376.35</v>
      </c>
    </row>
    <row r="140">
      <c r="A140" s="12" t="inlineStr">
        <is>
          <t xml:space="preserve">Internet – Focus Broadband</t>
        </is>
      </c>
      <c r="B140" s="3">
        <f>SUMIFS('All Transactions'!$F$5:$F$436,'All Transactions'!$D$5:$D$436,$A140,'All Transactions'!$A$5:$A$436,B$4)</f>
        <v>80.79</v>
      </c>
      <c r="C140" s="3">
        <f>SUMIFS('All Transactions'!$F$5:$F$436,'All Transactions'!$D$5:$D$436,$A140,'All Transactions'!$A$5:$A$436,C$4)</f>
        <v>0</v>
      </c>
      <c r="D140" s="3">
        <f>SUMIFS('All Transactions'!$F$5:$F$436,'All Transactions'!$D$5:$D$436,$A140,'All Transactions'!$A$5:$A$436,D$4)</f>
        <v>161.58</v>
      </c>
      <c r="E140" s="3">
        <f>SUMIFS('All Transactions'!$F$5:$F$436,'All Transactions'!$D$5:$D$436,$A140,'All Transactions'!$A$5:$A$436,E$4)</f>
        <v>80.79</v>
      </c>
      <c r="F140" s="3">
        <f>SUM(B140:E140)</f>
        <v>323.16</v>
      </c>
      <c r="G140" s="3">
        <f>F140/4</f>
        <v>80.79</v>
      </c>
    </row>
    <row r="141">
      <c r="A141" s="12" t="inlineStr">
        <is>
          <t xml:space="preserve">Restaurants &amp; Takeout</t>
        </is>
      </c>
      <c r="B141" s="3">
        <f>SUMIFS('All Transactions'!$F$5:$F$436,'All Transactions'!$D$5:$D$436,$A141,'All Transactions'!$A$5:$A$436,B$4)</f>
        <v>1019.45</v>
      </c>
      <c r="C141" s="3">
        <f>SUMIFS('All Transactions'!$F$5:$F$436,'All Transactions'!$D$5:$D$436,$A141,'All Transactions'!$A$5:$A$436,C$4)</f>
        <v>935.1</v>
      </c>
      <c r="D141" s="3">
        <f>SUMIFS('All Transactions'!$F$5:$F$436,'All Transactions'!$D$5:$D$436,$A141,'All Transactions'!$A$5:$A$436,D$4)</f>
        <v>962.62</v>
      </c>
      <c r="E141" s="3">
        <f>SUMIFS('All Transactions'!$F$5:$F$436,'All Transactions'!$D$5:$D$436,$A141,'All Transactions'!$A$5:$A$436,E$4)</f>
        <v>872.56</v>
      </c>
      <c r="F141" s="3">
        <f>SUM(B141:E141)</f>
        <v>3789.73</v>
      </c>
      <c r="G141" s="3">
        <f>F141/4</f>
        <v>947.4325</v>
      </c>
    </row>
    <row r="142">
      <c r="A142" s="12" t="inlineStr">
        <is>
          <t xml:space="preserve">Gas &amp; Convenience Stores</t>
        </is>
      </c>
      <c r="B142" s="3">
        <f>SUMIFS('All Transactions'!$F$5:$F$436,'All Transactions'!$D$5:$D$436,$A142,'All Transactions'!$A$5:$A$436,B$4)</f>
        <v>108.9</v>
      </c>
      <c r="C142" s="3">
        <f>SUMIFS('All Transactions'!$F$5:$F$436,'All Transactions'!$D$5:$D$436,$A142,'All Transactions'!$A$5:$A$436,C$4)</f>
        <v>277.87</v>
      </c>
      <c r="D142" s="3">
        <f>SUMIFS('All Transactions'!$F$5:$F$436,'All Transactions'!$D$5:$D$436,$A142,'All Transactions'!$A$5:$A$436,D$4)</f>
        <v>167.24</v>
      </c>
      <c r="E142" s="3">
        <f>SUMIFS('All Transactions'!$F$5:$F$436,'All Transactions'!$D$5:$D$436,$A142,'All Transactions'!$A$5:$A$436,E$4)</f>
        <v>238.98</v>
      </c>
      <c r="F142" s="3">
        <f>SUM(B142:E142)</f>
        <v>792.99</v>
      </c>
      <c r="G142" s="3">
        <f>F142/4</f>
        <v>198.2475</v>
      </c>
    </row>
    <row r="143">
      <c r="A143" s="12" t="inlineStr">
        <is>
          <t xml:space="preserve">Groceries (Lowes Foods + Publix + Food Lion)</t>
        </is>
      </c>
      <c r="B143" s="3">
        <f>SUMIFS('All Transactions'!$F$5:$F$436,'All Transactions'!$E$5:$E$436,"Groceries",'All Transactions'!$A$5:$A$436,B$4)</f>
        <v>1266.4</v>
      </c>
      <c r="C143" s="3">
        <f>SUMIFS('All Transactions'!$F$5:$F$436,'All Transactions'!$E$5:$E$436,"Groceries",'All Transactions'!$A$5:$A$436,C$4)</f>
        <v>1279.24</v>
      </c>
      <c r="D143" s="3">
        <f>SUMIFS('All Transactions'!$F$5:$F$436,'All Transactions'!$E$5:$E$436,"Groceries",'All Transactions'!$A$5:$A$436,D$4)</f>
        <v>1184.27</v>
      </c>
      <c r="E143" s="3">
        <f>SUMIFS('All Transactions'!$F$5:$F$436,'All Transactions'!$E$5:$E$436,"Groceries",'All Transactions'!$A$5:$A$436,E$4)</f>
        <v>1202.5</v>
      </c>
      <c r="F143" s="3">
        <f>SUM(B143:E143)</f>
        <v>4932.41</v>
      </c>
      <c r="G143" s="3">
        <f>F143/4</f>
        <v>1233.1025</v>
      </c>
    </row>
    <row r="144">
      <c r="A144" s="12" t="inlineStr">
        <is>
          <t xml:space="preserve">Retail (all retailers)</t>
        </is>
      </c>
      <c r="B144" s="3">
        <f>SUMIFS('All Transactions'!$F$5:$F$436,'All Transactions'!$E$5:$E$436,"Retail",'All Transactions'!$A$5:$A$436,B$4)</f>
        <v>815.42</v>
      </c>
      <c r="C144" s="3">
        <f>SUMIFS('All Transactions'!$F$5:$F$436,'All Transactions'!$E$5:$E$436,"Retail",'All Transactions'!$A$5:$A$436,C$4)</f>
        <v>1150.18</v>
      </c>
      <c r="D144" s="3">
        <f>SUMIFS('All Transactions'!$F$5:$F$436,'All Transactions'!$E$5:$E$436,"Retail",'All Transactions'!$A$5:$A$436,D$4)</f>
        <v>2380.47</v>
      </c>
      <c r="E144" s="3">
        <f>SUMIFS('All Transactions'!$F$5:$F$436,'All Transactions'!$E$5:$E$436,"Retail",'All Transactions'!$A$5:$A$436,E$4)</f>
        <v>333.11</v>
      </c>
      <c r="F144" s="3">
        <f>SUM(B144:E144)</f>
        <v>4679.18</v>
      </c>
      <c r="G144" s="3">
        <f>F144/4</f>
        <v>1169.795</v>
      </c>
    </row>
    <row r="145">
      <c r="A145" s="12" t="inlineStr">
        <is>
          <t xml:space="preserve">Streaming (all services)</t>
        </is>
      </c>
      <c r="B145" s="3">
        <f>SUMIFS('All Transactions'!$F$5:$F$436,'All Transactions'!$E$5:$E$436,"Streaming",'All Transactions'!$A$5:$A$436,B$4)</f>
        <v>188.8</v>
      </c>
      <c r="C145" s="3">
        <f>SUMIFS('All Transactions'!$F$5:$F$436,'All Transactions'!$E$5:$E$436,"Streaming",'All Transactions'!$A$5:$A$436,C$4)</f>
        <v>201.6</v>
      </c>
      <c r="D145" s="3">
        <f>SUMIFS('All Transactions'!$F$5:$F$436,'All Transactions'!$E$5:$E$436,"Streaming",'All Transactions'!$A$5:$A$436,D$4)</f>
        <v>158.35</v>
      </c>
      <c r="E145" s="3">
        <f>SUMIFS('All Transactions'!$F$5:$F$436,'All Transactions'!$E$5:$E$436,"Streaming",'All Transactions'!$A$5:$A$436,E$4)</f>
        <v>188.98</v>
      </c>
      <c r="F145" s="3">
        <f>SUM(B145:E145)</f>
        <v>737.73</v>
      </c>
      <c r="G145" s="3">
        <f>F145/4</f>
        <v>184.4325</v>
      </c>
    </row>
    <row r="147">
      <c r="A147" s="5" t="inlineStr">
        <is>
          <t xml:space="preserve">Notes &amp; assumptions</t>
        </is>
      </c>
    </row>
    <row r="148" ht="27" customHeight="1">
      <c r="A148" s="11" t="inlineStr">
        <is>
          <t xml:space="preserve">• "Month" = the bank statement period (June stmt 5/27–6/24, July 6/25–7/23, Aug 7/24–8/25, Sept 8/26–9/24), not the calendar month.</t>
        </is>
      </c>
    </row>
    <row r="149" ht="27" customHeight="1">
      <c r="A149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50" ht="27" customHeight="1">
      <c r="A150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51" ht="27" customHeight="1">
      <c r="A151" s="11" t="inlineStr">
        <is>
          <t xml:space="preserve">• Not counted as spending (per your instructions): WTW health premium ($2,576/mo, reimbursed by Via Benefits), American Express credit card payoffs, Sloane Realty, checks #101/102/103/518/520, and a $3.26 transfer to your own Wells Fargo account. They are listed in their own section so the sheet still ties to the bank statement.</t>
        </is>
      </c>
    </row>
    <row r="152" ht="27" customHeight="1">
      <c r="A152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53" ht="27" customHeight="1">
      <c r="A153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54" ht="27" customHeight="1">
      <c r="A154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Small hospital-cafeteria charges (Granville Med, Duke) are counted as Restaurants.</t>
        </is>
      </c>
    </row>
  </sheetData>
  <mergeCells count="7">
    <mergeCell ref="A148:G148"/>
    <mergeCell ref="A149:G149"/>
    <mergeCell ref="A150:G150"/>
    <mergeCell ref="A151:G151"/>
    <mergeCell ref="A152:G152"/>
    <mergeCell ref="A153:G153"/>
    <mergeCell ref="A154:G154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Personal Care (Hair Salon, Beauty)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Medical &amp;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Personal Care (Hair Salon, Beauty)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Debt Payments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Medical &amp;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Medical &amp;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Personal Care (Hair Salon, Beauty)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935.1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Home Services (Cleaning, Pest, Lawn)</t>
        </is>
      </c>
      <c r="H18" s="3">
        <f>SUMIF($C$4:$C$127,G18,$E$4:$E$127)</f>
        <v>242.05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Software &amp; Online Subscriptions</t>
        </is>
      </c>
      <c r="H19" s="3">
        <f>SUMIF($C$4:$C$127,G19,$E$4:$E$127)</f>
        <v>161.05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Student Loan (Dept of Education)</t>
        </is>
      </c>
      <c r="H20" s="3">
        <f>SUMIF($C$4:$C$127,G20,$E$4:$E$127)</f>
        <v>160.37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Medical &amp;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Streaming – Frndly TV</t>
        </is>
      </c>
      <c r="H29" s="3">
        <f>SUMIF($C$4:$C$127,G29,$E$4:$E$127)</f>
        <v>22.41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Disney (via Roku)</t>
        </is>
      </c>
      <c r="H30" s="3">
        <f>SUMIF($C$4:$C$127,G30,$E$4:$E$127)</f>
        <v>20.27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Medical &amp;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HBO Max</t>
        </is>
      </c>
      <c r="H31" s="3">
        <f>SUMIF($C$4:$C$127,G31,$E$4:$E$127)</f>
        <v>19.74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ESPN (Sept billed as Disney Plus)</t>
        </is>
      </c>
      <c r="H32" s="3">
        <f>SUMIF($C$4:$C$127,G32,$E$4:$E$127)</f>
        <v>13.87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10.1</v>
      </c>
      <c r="G33" s="2" t="inlineStr">
        <is>
          <t xml:space="preserve">Streaming – Hulu</t>
        </is>
      </c>
      <c r="H33" s="3">
        <f>SUMIF($C$4:$C$127,G33,$E$4:$E$127)</f>
        <v>12.8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Peacock (via Roku)</t>
        </is>
      </c>
      <c r="H34" s="3">
        <f>SUMIF($C$4:$C$127,G34,$E$4:$E$127)</f>
        <v>11.73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Retail – Dollar Tree / Dollar General</t>
        </is>
      </c>
      <c r="H35" s="3">
        <f>SUMIF($C$4:$C$127,G35,$E$4:$E$127)</f>
        <v>5.87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8.85</v>
      </c>
      <c r="G36" s="8" t="inlineStr">
        <is>
          <t xml:space="preserve">Total spending</t>
        </is>
      </c>
      <c r="H36" s="9">
        <f>SUM(H4:H35)</f>
        <v>12663.24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  <c r="G38" s="7" t="inlineStr">
        <is>
          <t xml:space="preserve">Not counted as spending</t>
        </is>
      </c>
      <c r="H38" s="7"/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2" t="inlineStr">
        <is>
          <t xml:space="preserve">Credit Card Payoff – American Express</t>
        </is>
      </c>
      <c r="H39" s="3">
        <f>SUMIF($C$4:$C$127,G39,$E$4:$E$127)</f>
        <v>7227.09</v>
      </c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Sloane Realty</t>
        </is>
      </c>
      <c r="H40" s="3">
        <f>SUMIF($C$4:$C$127,G40,$E$4:$E$127)</f>
        <v>2891.98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Transfer to Own WF Account</t>
        </is>
      </c>
      <c r="H41" s="3">
        <f>SUMIF($C$4:$C$127,G41,$E$4:$E$127)</f>
        <v>3.26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Restaurants &amp; Takeout</t>
        </is>
      </c>
      <c r="D42" s="2" t="inlineStr">
        <is>
          <t xml:space="preserve">Food</t>
        </is>
      </c>
      <c r="E42" s="3">
        <v>6.21</v>
      </c>
      <c r="G42" s="2" t="inlineStr">
        <is>
          <t xml:space="preserve">WTW Health Premium (reimbursed by Via Benefits)</t>
        </is>
      </c>
      <c r="H42" s="3">
        <f>SUMIF($C$4:$C$127,G42,$E$4:$E$127)</f>
        <v>2576.0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Medical &amp;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(Cleaning, Pest, Lawn)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Medical &amp;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Home Services (Cleaning, Pest, Lawn)</t>
        </is>
      </c>
      <c r="D126" s="2" t="inlineStr">
        <is>
          <t xml:space="preserve">Home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12663.24</v>
      </c>
    </row>
    <row r="129">
      <c r="D129" s="7" t="inlineStr">
        <is>
          <t xml:space="preserve">Not counted (Excluded)</t>
        </is>
      </c>
      <c r="E129" s="6">
        <f>SUMIF(D4:D127,"Excluded",E4:E127)</f>
        <v>12698.33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Medical &amp; Pharmacy</t>
        </is>
      </c>
      <c r="H8" s="3">
        <f>SUMIF($C$4:$C$110,G8,$E$4:$E$110)</f>
        <v>850.9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Banner Life Insurance</t>
        </is>
      </c>
      <c r="H9" s="3">
        <f>SUMIF($C$4:$C$110,G9,$E$4:$E$110)</f>
        <v>710.06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Grocery – Lowes Foods</t>
        </is>
      </c>
      <c r="H10" s="3">
        <f>SUMIF($C$4:$C$110,G10,$E$4:$E$110)</f>
        <v>584.25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Home Services (Cleaning, Pest, Lawn)</t>
        </is>
      </c>
      <c r="H11" s="3">
        <f>SUMIF($C$4:$C$110,G11,$E$4:$E$110)</f>
        <v>536.6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Grocery – Publix</t>
        </is>
      </c>
      <c r="H12" s="3">
        <f>SUMIF($C$4:$C$110,G12,$E$4:$E$110)</f>
        <v>522.68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Allstate Insurance</t>
        </is>
      </c>
      <c r="H13" s="3">
        <f>SUMIF($C$4:$C$110,G13,$E$4:$E$110)</f>
        <v>475.42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Personal Care (Hair Salon, Beauty)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Verizon Wireless</t>
        </is>
      </c>
      <c r="H14" s="3">
        <f>SUMIF($C$4:$C$110,G14,$E$4:$E$110)</f>
        <v>436.02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Health Insurance – Blue Cross NC</t>
        </is>
      </c>
      <c r="H15" s="3">
        <f>SUMIF($C$4:$C$110,G15,$E$4:$E$110)</f>
        <v>432.5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Utility – Electric (BEMC)</t>
        </is>
      </c>
      <c r="H16" s="3">
        <f>SUMIF($C$4:$C$110,G16,$E$4:$E$110)</f>
        <v>406.96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&amp; Pharmacy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Transfers to People (Venmo/Zelle)</t>
        </is>
      </c>
      <c r="H17" s="3">
        <f>SUMIF($C$4:$C$110,G17,$E$4:$E$110)</f>
        <v>331.5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Yard Company (NextGen)</t>
        </is>
      </c>
      <c r="H18" s="3">
        <f>SUMIF($C$4:$C$110,G18,$E$4:$E$110)</f>
        <v>220.0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Personal Care (Hair Salon, Beauty)</t>
        </is>
      </c>
      <c r="H19" s="3">
        <f>SUMIF($C$4:$C$110,G19,$E$4:$E$110)</f>
        <v>182.5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Utility – Water/Sewer (Brunswick County)</t>
        </is>
      </c>
      <c r="H20" s="3">
        <f>SUMIF($C$4:$C$110,G20,$E$4:$E$110)</f>
        <v>179.33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(Cleaning, Pest, Lawn)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Dillard's</t>
        </is>
      </c>
      <c r="H21" s="3">
        <f>SUMIF($C$4:$C$110,G21,$E$4:$E$110)</f>
        <v>174.74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Lowe's (home improvement)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Retail – Hobby Lobby</t>
        </is>
      </c>
      <c r="H24" s="3">
        <f>SUMIF($C$4:$C$110,G24,$E$4:$E$110)</f>
        <v>165.67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Internet – Focus Broadband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Streaming – YouTube TV (Google)</t>
        </is>
      </c>
      <c r="H27" s="3">
        <f>SUMIF($C$4:$C$110,G27,$E$4:$E$110)</f>
        <v>89.0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Retail – HomeSense</t>
        </is>
      </c>
      <c r="H28" s="3">
        <f>SUMIF($C$4:$C$110,G28,$E$4:$E$110)</f>
        <v>88.7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Grocery – Food Lion</t>
        </is>
      </c>
      <c r="H29" s="3">
        <f>SUMIF($C$4:$C$110,G29,$E$4:$E$110)</f>
        <v>77.34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Life Insurance (Lincoln National)</t>
        </is>
      </c>
      <c r="H30" s="3">
        <f>SUMIF($C$4:$C$110,G30,$E$4:$E$110)</f>
        <v>73.61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Dental Insurance – Delta Dental</t>
        </is>
      </c>
      <c r="H31" s="3">
        <f>SUMIF($C$4:$C$110,G31,$E$4:$E$110)</f>
        <v>69.36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Software &amp; Online Subscriptions</t>
        </is>
      </c>
      <c r="H32" s="3">
        <f>SUMIF($C$4:$C$110,G32,$E$4:$E$110)</f>
        <v>65.98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Retail – Tractor Supply</t>
        </is>
      </c>
      <c r="H33" s="3">
        <f>SUMIF($C$4:$C$110,G33,$E$4:$E$110)</f>
        <v>29.86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Streaming – Frndly TV</t>
        </is>
      </c>
      <c r="H34" s="3">
        <f>SUMIF($C$4:$C$110,G34,$E$4:$E$110)</f>
        <v>22.41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Disney (via Roku)</t>
        </is>
      </c>
      <c r="H35" s="3">
        <f>SUMIF($C$4:$C$110,G35,$E$4:$E$110)</f>
        <v>20.27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Medical &amp;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Tolls &amp; Parking</t>
        </is>
      </c>
      <c r="H36" s="3">
        <f>SUMIF($C$4:$C$110,G36,$E$4:$E$110)</f>
        <v>18.44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Retail – Dollar Tree / Dollar General</t>
        </is>
      </c>
      <c r="H37" s="3">
        <f>SUMIF($C$4:$C$110,G37,$E$4:$E$110)</f>
        <v>17.35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Streaming – ESPN (Sept billed as Disney Plus)</t>
        </is>
      </c>
      <c r="H38" s="3">
        <f>SUMIF($C$4:$C$110,G38,$E$4:$E$110)</f>
        <v>13.87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Entertainment &amp; Events</t>
        </is>
      </c>
      <c r="H39" s="3">
        <f>SUMIF($C$4:$C$110,G39,$E$4:$E$110)</f>
        <v>13.5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Streaming – Hulu</t>
        </is>
      </c>
      <c r="H40" s="3">
        <f>SUMIF($C$4:$C$110,G40,$E$4:$E$110)</f>
        <v>12.8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Other Food Stores (Harris Teeter, Beach Pantry)</t>
        </is>
      </c>
      <c r="H41" s="3">
        <f>SUMIF($C$4:$C$110,G41,$E$4:$E$110)</f>
        <v>5.85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8" t="inlineStr">
        <is>
          <t xml:space="preserve">Total spending</t>
        </is>
      </c>
      <c r="H42" s="9">
        <f>SUM(H4:H41)</f>
        <v>15086.64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  <c r="G44" s="7" t="inlineStr">
        <is>
          <t xml:space="preserve">Not counted as spending</t>
        </is>
      </c>
      <c r="H44" s="7"/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2" t="inlineStr">
        <is>
          <t xml:space="preserve">Checks Written (payee not shown)</t>
        </is>
      </c>
      <c r="H45" s="3">
        <f>SUMIF($C$4:$C$110,G45,$E$4:$E$110)</f>
        <v>728.0</v>
      </c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Credit Card Payoff – American Express</t>
        </is>
      </c>
      <c r="H46" s="3">
        <f>SUMIF($C$4:$C$110,G46,$E$4:$E$110)</f>
        <v>4593.08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WTW Health Premium (reimbursed by Via Benefits)</t>
        </is>
      </c>
      <c r="H47" s="3">
        <f>SUMIF($C$4:$C$110,G47,$E$4:$E$110)</f>
        <v>2576.0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Home Services (Cleaning, Pest, Lawn)</t>
        </is>
      </c>
      <c r="D55" s="2" t="inlineStr">
        <is>
          <t xml:space="preserve">Home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Medical &amp;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&amp; Pharmacy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Debt Payments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Medical &amp;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Personal Care (Hair Salon, Beauty)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15086.64</v>
      </c>
    </row>
    <row r="112">
      <c r="D112" s="7" t="inlineStr">
        <is>
          <t xml:space="preserve">Not counted (Excluded)</t>
        </is>
      </c>
      <c r="E112" s="6">
        <f>SUMIF(D4:D110,"Excluded",E4:E110)</f>
        <v>7897.08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872.56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&amp; Pharmacy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Medical &amp; Pharmacy</t>
        </is>
      </c>
      <c r="H17" s="3">
        <f>SUMIF($C$4:$C$88,G17,$E$4:$E$88)</f>
        <v>160.28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Cash (ATM) &amp; Bank Fees</t>
        </is>
      </c>
      <c r="H18" s="3">
        <f>SUMIF($C$4:$C$88,G18,$E$4:$E$88)</f>
        <v>147.0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Streaming – YouTube TV (Google)</t>
        </is>
      </c>
      <c r="H19" s="3">
        <f>SUMIF($C$4:$C$88,G19,$E$4:$E$88)</f>
        <v>132.43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Transfers to People (Venmo/Zelle)</t>
        </is>
      </c>
      <c r="H20" s="3">
        <f>SUMIF($C$4:$C$88,G20,$E$4:$E$88)</f>
        <v>130.0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Yard Company (NextGen)</t>
        </is>
      </c>
      <c r="H21" s="3">
        <f>SUMIF($C$4:$C$88,G21,$E$4:$E$88)</f>
        <v>120.0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Retail – Local shops (Hippie Chick, Southport Spices, Mad River, Coastal Carolina)</t>
        </is>
      </c>
      <c r="H22" s="3">
        <f>SUMIF($C$4:$C$88,G22,$E$4:$E$88)</f>
        <v>119.97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Personal Care (Hair Salon, Beauty)</t>
        </is>
      </c>
      <c r="H23" s="3">
        <f>SUMIF($C$4:$C$88,G23,$E$4:$E$88)</f>
        <v>114.5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Retail – Lowe's (home improvement)</t>
        </is>
      </c>
      <c r="H24" s="3">
        <f>SUMIF($C$4:$C$88,G24,$E$4:$E$88)</f>
        <v>85.27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(Hair Salon, Beauty)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Utility – Water/Sewer (Brunswick County)</t>
        </is>
      </c>
      <c r="H25" s="3">
        <f>SUMIF($C$4:$C$88,G25,$E$4:$E$88)</f>
        <v>84.26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Tolls &amp; Parking</t>
        </is>
      </c>
      <c r="H27" s="3">
        <f>SUMIF($C$4:$C$88,G27,$E$4:$E$88)</f>
        <v>74.24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Personal Care (Hair Salon, Beauty)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Life Insurance (Lincoln National)</t>
        </is>
      </c>
      <c r="H28" s="3">
        <f>SUMIF($C$4:$C$88,G28,$E$4:$E$88)</f>
        <v>73.61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Dental Insurance – Delta Dental</t>
        </is>
      </c>
      <c r="H29" s="3">
        <f>SUMIF($C$4:$C$88,G29,$E$4:$E$88)</f>
        <v>69.36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Retail – Marshalls</t>
        </is>
      </c>
      <c r="H30" s="3">
        <f>SUMIF($C$4:$C$88,G30,$E$4:$E$88)</f>
        <v>41.59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Hobby Lobby</t>
        </is>
      </c>
      <c r="H31" s="3">
        <f>SUMIF($C$4:$C$88,G31,$E$4:$E$88)</f>
        <v>37.33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Walmart</t>
        </is>
      </c>
      <c r="H32" s="3">
        <f>SUMIF($C$4:$C$88,G32,$E$4:$E$88)</f>
        <v>32.63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Streaming – Frndly TV</t>
        </is>
      </c>
      <c r="H33" s="3">
        <f>SUMIF($C$4:$C$88,G33,$E$4:$E$88)</f>
        <v>22.41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Streaming – Disney (via Roku)</t>
        </is>
      </c>
      <c r="H34" s="3">
        <f>SUMIF($C$4:$C$88,G34,$E$4:$E$88)</f>
        <v>20.27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Retail – Ross</t>
        </is>
      </c>
      <c r="H35" s="3">
        <f>SUMIF($C$4:$C$88,G35,$E$4:$E$88)</f>
        <v>16.32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ESPN (Sept billed as Disney Plus)</t>
        </is>
      </c>
      <c r="H36" s="3">
        <f>SUMIF($C$4:$C$88,G36,$E$4:$E$88)</f>
        <v>13.87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8" t="inlineStr">
        <is>
          <t xml:space="preserve">Total spending</t>
        </is>
      </c>
      <c r="H37" s="9">
        <f>SUM(H4:H36)</f>
        <v>11515.63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7" t="inlineStr">
        <is>
          <t xml:space="preserve">Not counted as spending</t>
        </is>
      </c>
      <c r="H39" s="7"/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2" t="inlineStr">
        <is>
          <t xml:space="preserve">Credit Card Payoff – American Express</t>
        </is>
      </c>
      <c r="H40" s="3">
        <f>SUMIF($C$4:$C$88,G40,$E$4:$E$88)</f>
        <v>4738.51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2" t="inlineStr">
        <is>
          <t xml:space="preserve">WTW Health Premium (reimbursed by Via Benefits)</t>
        </is>
      </c>
      <c r="H41" s="3">
        <f>SUMIF($C$4:$C$88,G41,$E$4:$E$88)</f>
        <v>2576.0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&amp; Pharmacy</t>
        </is>
      </c>
      <c r="D43" s="2" t="inlineStr">
        <is>
          <t xml:space="preserve">Health</t>
        </is>
      </c>
      <c r="E43" s="3">
        <v>100.28</v>
      </c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Debt Payments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Tolls &amp; Parking</t>
        </is>
      </c>
      <c r="D58" s="2" t="inlineStr">
        <is>
          <t xml:space="preserve">Transportation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Personal Care (Hair Salon, Beauty)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Debt Payments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Medical &amp;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Medical &amp;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Personal Care (Hair Salon, Beauty)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Medical &amp;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Restaurants &amp; Takeout</t>
        </is>
      </c>
      <c r="E150" s="2" t="inlineStr">
        <is>
          <t xml:space="preserve">Food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Restaurants &amp; Takeout</t>
        </is>
      </c>
      <c r="E153" s="2" t="inlineStr">
        <is>
          <t xml:space="preserve">Food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Restaurants &amp; Takeout</t>
        </is>
      </c>
      <c r="E159" s="2" t="inlineStr">
        <is>
          <t xml:space="preserve">Food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Medical &amp;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Debt Payments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(Cleaning, Pest, Lawn)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Medical &amp;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Home Services (Cleaning, Pest, Lawn)</t>
        </is>
      </c>
      <c r="E243" s="2" t="inlineStr">
        <is>
          <t xml:space="preserve">Home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Personal Care (Hair Salon, Beauty)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&amp; Pharmacy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(Cleaning, Pest, Lawn)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Medical &amp;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Home Services (Cleaning, Pest, Lawn)</t>
        </is>
      </c>
      <c r="E296" s="2" t="inlineStr">
        <is>
          <t xml:space="preserve">Home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Medical &amp;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&amp; Pharmacy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Debt Payments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Medical &amp;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Personal Care (Hair Salon, Beauty)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Restaurants &amp; Takeout</t>
        </is>
      </c>
      <c r="E353" s="2" t="inlineStr">
        <is>
          <t xml:space="preserve">Food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&amp; Pharmacy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(Hair Salon, Beauty)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Personal Care (Hair Salon, Beauty)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&amp; Pharmacy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Debt Payments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Restaurants &amp; Takeout</t>
        </is>
      </c>
      <c r="E404" s="2" t="inlineStr">
        <is>
          <t xml:space="preserve">Food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Tolls &amp; Parking</t>
        </is>
      </c>
      <c r="E406" s="2" t="inlineStr">
        <is>
          <t xml:space="preserve">Transportation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